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Sheet1!$A$1:$K$16</definedName>
    <definedName name="GWC">LAMBDA(((Sheet1!$H$2-Sheet1!$G$2)-(Sheet1!$J$2-Sheet1!$G$2))/(Sheet1!$J$2-Sheet1!$G$2)*100)</definedName>
  </definedNames>
  <calcPr/>
</workbook>
</file>

<file path=xl/sharedStrings.xml><?xml version="1.0" encoding="utf-8"?>
<sst xmlns="http://schemas.openxmlformats.org/spreadsheetml/2006/main" count="41" uniqueCount="13">
  <si>
    <t>Sampling_Date</t>
  </si>
  <si>
    <t>Plot</t>
  </si>
  <si>
    <t>Replicate</t>
  </si>
  <si>
    <t>Sample_ID</t>
  </si>
  <si>
    <t>Lab_No</t>
  </si>
  <si>
    <t>Date_Weighed_Fresh</t>
  </si>
  <si>
    <t>Mass_Tin_g</t>
  </si>
  <si>
    <t>Fresh_Mass_Soil+Tin _g</t>
  </si>
  <si>
    <t>Date_Weighed_Dry</t>
  </si>
  <si>
    <t>Dry_Mass_Soil+Tin _g</t>
  </si>
  <si>
    <t>GWC</t>
  </si>
  <si>
    <t>29-05-2025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</si>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</sst>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0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10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6" displayName="Table1" name="Table1" id="1">
  <autoFilter ref="$A$1:$K$16"/>
  <tableColumns count="11">
    <tableColumn name="Sampling_Date" id="1"/>
    <tableColumn name="Plot" id="2"/>
    <tableColumn name="Replicate" id="3"/>
    <tableColumn name="Sample_ID" id="4"/>
    <tableColumn name="Lab_No" id="5"/>
    <tableColumn name="Date_Weighed_Fresh" id="6"/>
    <tableColumn name="Mass_Tin_g" id="7"/>
    <tableColumn name="Fresh_Mass_Soil+Tin _g" id="8"/>
    <tableColumn name="Date_Weighed_Dry" id="9"/>
    <tableColumn name="Dry_Mass_Soil+Tin _g" id="10"/>
    <tableColumn name="GWC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1.75"/>
    <col customWidth="1" min="3" max="3" width="12.5"/>
    <col customWidth="1" min="4" max="4" width="13.5"/>
    <col customWidth="1" min="5" max="5" width="11.13"/>
    <col customWidth="1" min="6" max="6" width="24.38"/>
    <col customWidth="1" min="7" max="7" width="14.38"/>
    <col customWidth="1" min="8" max="8" width="23.5"/>
    <col customWidth="1" min="9" max="9" width="19.5"/>
    <col customWidth="1" min="10" max="11" width="2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22.5" customHeight="1">
      <c r="A2" s="3" t="s">
        <v>11</v>
      </c>
      <c r="B2" s="4">
        <v>1.0</v>
      </c>
      <c r="C2" s="3" t="s">
        <v>12</v>
      </c>
      <c r="D2" s="4" t="str">
        <f t="shared" ref="D2:D16" si="1">"GWC_1_P"&amp;B2&amp;"_"&amp;C2</f>
        <v>GWC_1_P1_A</v>
      </c>
      <c r="E2" s="3">
        <v>1.0</v>
      </c>
      <c r="F2" s="5">
        <v>45663.0</v>
      </c>
      <c r="G2" s="6">
        <v>1.2904</v>
      </c>
      <c r="H2" s="6">
        <v>8.8426</v>
      </c>
      <c r="I2" s="3"/>
      <c r="J2" s="6">
        <v>7.432</v>
      </c>
      <c r="K2" s="7">
        <f t="shared" ref="K2:K16" si="2">IF(J2="","",(H2-J2)/(J2-G2))</f>
        <v>0.2296795623</v>
      </c>
    </row>
    <row r="3" ht="22.5" customHeight="1">
      <c r="A3" s="3" t="s">
        <v>11</v>
      </c>
      <c r="B3" s="4">
        <v>2.0</v>
      </c>
      <c r="C3" s="3" t="s">
        <v>12</v>
      </c>
      <c r="D3" s="4" t="str">
        <f t="shared" si="1"/>
        <v>GWC_1_P2_A</v>
      </c>
      <c r="E3" s="6">
        <v>2.0</v>
      </c>
      <c r="F3" s="5">
        <v>45663.0</v>
      </c>
      <c r="G3" s="6">
        <v>1.2983</v>
      </c>
      <c r="H3" s="6">
        <v>11.461</v>
      </c>
      <c r="I3" s="3"/>
      <c r="J3" s="6">
        <v>9.7576</v>
      </c>
      <c r="K3" s="7">
        <f t="shared" si="2"/>
        <v>0.2013641791</v>
      </c>
    </row>
    <row r="4" ht="22.5" customHeight="1">
      <c r="A4" s="3" t="s">
        <v>11</v>
      </c>
      <c r="B4" s="4">
        <v>3.0</v>
      </c>
      <c r="C4" s="3" t="s">
        <v>12</v>
      </c>
      <c r="D4" s="4" t="str">
        <f t="shared" si="1"/>
        <v>GWC_1_P3_A</v>
      </c>
      <c r="E4" s="3">
        <v>3.0</v>
      </c>
      <c r="F4" s="5">
        <v>45663.0</v>
      </c>
      <c r="G4" s="6">
        <v>1.3922</v>
      </c>
      <c r="H4" s="6">
        <v>9.2232</v>
      </c>
      <c r="I4" s="3"/>
      <c r="J4" s="6">
        <v>7.9085</v>
      </c>
      <c r="K4" s="7">
        <f t="shared" si="2"/>
        <v>0.2017555975</v>
      </c>
    </row>
    <row r="5" ht="22.5" customHeight="1">
      <c r="A5" s="3" t="s">
        <v>11</v>
      </c>
      <c r="B5" s="4">
        <v>4.0</v>
      </c>
      <c r="C5" s="3" t="s">
        <v>12</v>
      </c>
      <c r="D5" s="4" t="str">
        <f t="shared" si="1"/>
        <v>GWC_1_P4_A</v>
      </c>
      <c r="E5" s="6">
        <v>4.0</v>
      </c>
      <c r="F5" s="5">
        <v>45663.0</v>
      </c>
      <c r="G5" s="6">
        <v>1.1839</v>
      </c>
      <c r="H5" s="6">
        <v>10.2195</v>
      </c>
      <c r="I5" s="3"/>
      <c r="J5" s="6">
        <v>8.5912</v>
      </c>
      <c r="K5" s="7">
        <f t="shared" si="2"/>
        <v>0.2198236874</v>
      </c>
    </row>
    <row r="6" ht="22.5" customHeight="1">
      <c r="A6" s="3" t="s">
        <v>11</v>
      </c>
      <c r="B6" s="4">
        <v>5.0</v>
      </c>
      <c r="C6" s="3" t="s">
        <v>12</v>
      </c>
      <c r="D6" s="4" t="str">
        <f t="shared" si="1"/>
        <v>GWC_1_P5_A</v>
      </c>
      <c r="E6" s="3">
        <v>5.0</v>
      </c>
      <c r="F6" s="5">
        <v>45663.0</v>
      </c>
      <c r="G6" s="6">
        <v>1.3112</v>
      </c>
      <c r="H6" s="6">
        <v>10.3513</v>
      </c>
      <c r="I6" s="3"/>
      <c r="J6" s="6">
        <v>8.8182</v>
      </c>
      <c r="K6" s="7">
        <f t="shared" si="2"/>
        <v>0.2042227255</v>
      </c>
    </row>
    <row r="7" ht="22.5" customHeight="1">
      <c r="A7" s="3" t="s">
        <v>11</v>
      </c>
      <c r="B7" s="4">
        <v>6.0</v>
      </c>
      <c r="C7" s="3" t="s">
        <v>12</v>
      </c>
      <c r="D7" s="4" t="str">
        <f t="shared" si="1"/>
        <v>GWC_1_P6_A</v>
      </c>
      <c r="E7" s="6">
        <v>6.0</v>
      </c>
      <c r="F7" s="5">
        <v>45663.0</v>
      </c>
      <c r="G7" s="6">
        <v>1.2914</v>
      </c>
      <c r="H7" s="6">
        <v>12.0931</v>
      </c>
      <c r="I7" s="3"/>
      <c r="J7" s="6">
        <v>10.1886</v>
      </c>
      <c r="K7" s="7">
        <f t="shared" si="2"/>
        <v>0.2140561075</v>
      </c>
    </row>
    <row r="8" ht="22.5" customHeight="1">
      <c r="A8" s="3" t="s">
        <v>11</v>
      </c>
      <c r="B8" s="4">
        <v>7.0</v>
      </c>
      <c r="C8" s="3" t="s">
        <v>12</v>
      </c>
      <c r="D8" s="4" t="str">
        <f t="shared" si="1"/>
        <v>GWC_1_P7_A</v>
      </c>
      <c r="E8" s="3">
        <v>7.0</v>
      </c>
      <c r="F8" s="5">
        <v>45663.0</v>
      </c>
      <c r="G8" s="6">
        <v>1.2895</v>
      </c>
      <c r="H8" s="6">
        <v>12.6768</v>
      </c>
      <c r="I8" s="3"/>
      <c r="J8" s="6">
        <v>10.6689</v>
      </c>
      <c r="K8" s="7">
        <f t="shared" si="2"/>
        <v>0.2140755272</v>
      </c>
    </row>
    <row r="9" ht="22.5" customHeight="1">
      <c r="A9" s="3" t="s">
        <v>11</v>
      </c>
      <c r="B9" s="4">
        <v>8.0</v>
      </c>
      <c r="C9" s="3" t="s">
        <v>12</v>
      </c>
      <c r="D9" s="4" t="str">
        <f t="shared" si="1"/>
        <v>GWC_1_P8_A</v>
      </c>
      <c r="E9" s="6">
        <v>8.0</v>
      </c>
      <c r="F9" s="5">
        <v>45663.0</v>
      </c>
      <c r="G9" s="6">
        <v>1.2978</v>
      </c>
      <c r="H9" s="6">
        <v>12.8344</v>
      </c>
      <c r="I9" s="3"/>
      <c r="J9" s="6">
        <v>10.8359</v>
      </c>
      <c r="K9" s="7">
        <f t="shared" si="2"/>
        <v>0.2095281031</v>
      </c>
    </row>
    <row r="10" ht="22.5" customHeight="1">
      <c r="A10" s="3" t="s">
        <v>11</v>
      </c>
      <c r="B10" s="4">
        <v>9.0</v>
      </c>
      <c r="C10" s="3" t="s">
        <v>12</v>
      </c>
      <c r="D10" s="4" t="str">
        <f t="shared" si="1"/>
        <v>GWC_1_P9_A</v>
      </c>
      <c r="E10" s="3">
        <v>9.0</v>
      </c>
      <c r="F10" s="5">
        <v>45663.0</v>
      </c>
      <c r="G10" s="6">
        <v>1.2883</v>
      </c>
      <c r="H10" s="6">
        <v>11.2111</v>
      </c>
      <c r="I10" s="3"/>
      <c r="J10" s="6">
        <v>9.5814</v>
      </c>
      <c r="K10" s="7">
        <f t="shared" si="2"/>
        <v>0.1965127636</v>
      </c>
    </row>
    <row r="11" ht="22.5" customHeight="1">
      <c r="A11" s="3" t="s">
        <v>11</v>
      </c>
      <c r="B11" s="4">
        <v>10.0</v>
      </c>
      <c r="C11" s="3" t="s">
        <v>12</v>
      </c>
      <c r="D11" s="4" t="str">
        <f t="shared" si="1"/>
        <v>GWC_1_P10_A</v>
      </c>
      <c r="E11" s="6">
        <v>10.0</v>
      </c>
      <c r="F11" s="5">
        <v>45663.0</v>
      </c>
      <c r="G11" s="6">
        <v>1.2999</v>
      </c>
      <c r="H11" s="6">
        <v>11.8705</v>
      </c>
      <c r="I11" s="3"/>
      <c r="J11" s="6">
        <v>10.0958</v>
      </c>
      <c r="K11" s="7">
        <f t="shared" si="2"/>
        <v>0.2017644584</v>
      </c>
    </row>
    <row r="12" ht="22.5" customHeight="1">
      <c r="A12" s="3" t="s">
        <v>11</v>
      </c>
      <c r="B12" s="4">
        <v>11.0</v>
      </c>
      <c r="C12" s="3" t="s">
        <v>12</v>
      </c>
      <c r="D12" s="4" t="str">
        <f t="shared" si="1"/>
        <v>GWC_1_P11_A</v>
      </c>
      <c r="E12" s="3">
        <v>11.0</v>
      </c>
      <c r="F12" s="5">
        <v>45663.0</v>
      </c>
      <c r="G12" s="6">
        <v>1.286</v>
      </c>
      <c r="H12" s="6">
        <v>12.8146</v>
      </c>
      <c r="I12" s="3"/>
      <c r="J12" s="6">
        <v>10.6698</v>
      </c>
      <c r="K12" s="7">
        <f t="shared" si="2"/>
        <v>0.2285641211</v>
      </c>
    </row>
    <row r="13" ht="22.5" customHeight="1">
      <c r="A13" s="3" t="s">
        <v>11</v>
      </c>
      <c r="B13" s="4">
        <v>12.0</v>
      </c>
      <c r="C13" s="3" t="s">
        <v>12</v>
      </c>
      <c r="D13" s="4" t="str">
        <f t="shared" si="1"/>
        <v>GWC_1_P12_A</v>
      </c>
      <c r="E13" s="6">
        <v>12.0</v>
      </c>
      <c r="F13" s="5">
        <v>45663.0</v>
      </c>
      <c r="G13" s="6">
        <v>1.287</v>
      </c>
      <c r="H13" s="6">
        <v>12.3298</v>
      </c>
      <c r="I13" s="3"/>
      <c r="J13" s="6">
        <v>10.3834</v>
      </c>
      <c r="K13" s="7">
        <f t="shared" si="2"/>
        <v>0.2139747592</v>
      </c>
    </row>
    <row r="14" ht="22.5" customHeight="1">
      <c r="A14" s="3" t="s">
        <v>11</v>
      </c>
      <c r="B14" s="4">
        <v>13.0</v>
      </c>
      <c r="C14" s="3" t="s">
        <v>12</v>
      </c>
      <c r="D14" s="4" t="str">
        <f t="shared" si="1"/>
        <v>GWC_1_P13_A</v>
      </c>
      <c r="E14" s="3">
        <v>13.0</v>
      </c>
      <c r="F14" s="5">
        <v>45663.0</v>
      </c>
      <c r="G14" s="6">
        <v>1.3078</v>
      </c>
      <c r="H14" s="6">
        <v>12.1943</v>
      </c>
      <c r="I14" s="3"/>
      <c r="J14" s="6">
        <v>10.2215</v>
      </c>
      <c r="K14" s="7">
        <f t="shared" si="2"/>
        <v>0.2213222343</v>
      </c>
    </row>
    <row r="15" ht="22.5" customHeight="1">
      <c r="A15" s="3" t="s">
        <v>11</v>
      </c>
      <c r="B15" s="4">
        <v>14.0</v>
      </c>
      <c r="C15" s="3" t="s">
        <v>12</v>
      </c>
      <c r="D15" s="4" t="str">
        <f t="shared" si="1"/>
        <v>GWC_1_P14_A</v>
      </c>
      <c r="E15" s="6">
        <v>14.0</v>
      </c>
      <c r="F15" s="5">
        <v>45663.0</v>
      </c>
      <c r="G15" s="6">
        <v>1.2885</v>
      </c>
      <c r="H15" s="6">
        <v>13.0924</v>
      </c>
      <c r="I15" s="3"/>
      <c r="J15" s="6">
        <v>11.0471</v>
      </c>
      <c r="K15" s="7">
        <f t="shared" si="2"/>
        <v>0.2095894903</v>
      </c>
    </row>
    <row r="16" ht="22.5" customHeight="1">
      <c r="A16" s="3" t="s">
        <v>11</v>
      </c>
      <c r="B16" s="4">
        <v>15.0</v>
      </c>
      <c r="C16" s="3" t="s">
        <v>12</v>
      </c>
      <c r="D16" s="4" t="str">
        <f t="shared" si="1"/>
        <v>GWC_1_P15_A</v>
      </c>
      <c r="E16" s="3">
        <v>15.0</v>
      </c>
      <c r="F16" s="5">
        <v>45663.0</v>
      </c>
      <c r="G16" s="6">
        <v>1.2827</v>
      </c>
      <c r="H16" s="6">
        <v>12.0089</v>
      </c>
      <c r="I16" s="3"/>
      <c r="J16" s="6">
        <v>10.1807</v>
      </c>
      <c r="K16" s="7">
        <f t="shared" si="2"/>
        <v>0.2054619016</v>
      </c>
    </row>
    <row r="17">
      <c r="K17" s="8"/>
    </row>
    <row r="18">
      <c r="K18" s="8"/>
    </row>
    <row r="19">
      <c r="K19" s="8"/>
    </row>
    <row r="20">
      <c r="K20" s="8"/>
    </row>
    <row r="21">
      <c r="K21" s="8"/>
    </row>
    <row r="22">
      <c r="K22" s="8"/>
    </row>
    <row r="23">
      <c r="K23" s="8"/>
    </row>
    <row r="24">
      <c r="K24" s="8"/>
    </row>
    <row r="25">
      <c r="K25" s="8"/>
    </row>
    <row r="26">
      <c r="K26" s="8"/>
    </row>
    <row r="27">
      <c r="K27" s="8"/>
    </row>
    <row r="28">
      <c r="K28" s="8"/>
    </row>
    <row r="29">
      <c r="K29" s="8"/>
    </row>
    <row r="30">
      <c r="K30" s="8"/>
    </row>
    <row r="31">
      <c r="K31" s="8"/>
    </row>
    <row r="32">
      <c r="K32" s="8"/>
    </row>
    <row r="33">
      <c r="K33" s="8"/>
    </row>
    <row r="34">
      <c r="K34" s="8"/>
    </row>
    <row r="35">
      <c r="K35" s="8"/>
    </row>
    <row r="36">
      <c r="K36" s="8"/>
    </row>
    <row r="37">
      <c r="K37" s="8"/>
    </row>
    <row r="38">
      <c r="K38" s="8"/>
    </row>
    <row r="39">
      <c r="K39" s="8"/>
    </row>
    <row r="40">
      <c r="K40" s="8"/>
    </row>
    <row r="41">
      <c r="K41" s="8"/>
    </row>
    <row r="42">
      <c r="K42" s="8"/>
    </row>
    <row r="43">
      <c r="K43" s="8"/>
    </row>
    <row r="44">
      <c r="K44" s="8"/>
    </row>
    <row r="45">
      <c r="K45" s="8"/>
    </row>
    <row r="46">
      <c r="K46" s="8"/>
    </row>
    <row r="47">
      <c r="K47" s="8"/>
    </row>
    <row r="48">
      <c r="K48" s="8"/>
    </row>
    <row r="49">
      <c r="K49" s="8"/>
    </row>
    <row r="50">
      <c r="K50" s="8"/>
    </row>
    <row r="51">
      <c r="K51" s="8"/>
    </row>
    <row r="52">
      <c r="K52" s="8"/>
    </row>
    <row r="53">
      <c r="K53" s="8"/>
    </row>
    <row r="54">
      <c r="K54" s="8"/>
    </row>
    <row r="55">
      <c r="K55" s="8"/>
    </row>
    <row r="56">
      <c r="K56" s="8"/>
    </row>
    <row r="57">
      <c r="K57" s="8"/>
    </row>
    <row r="58">
      <c r="K58" s="8"/>
    </row>
    <row r="59">
      <c r="K59" s="8"/>
    </row>
    <row r="60">
      <c r="K60" s="8"/>
    </row>
    <row r="61">
      <c r="K61" s="8"/>
    </row>
    <row r="62">
      <c r="K62" s="8"/>
    </row>
    <row r="63">
      <c r="K63" s="8"/>
    </row>
    <row r="64">
      <c r="K64" s="8"/>
    </row>
    <row r="65">
      <c r="K65" s="8"/>
    </row>
    <row r="66">
      <c r="K66" s="8"/>
    </row>
    <row r="67">
      <c r="K67" s="8"/>
    </row>
    <row r="68">
      <c r="K68" s="8"/>
    </row>
    <row r="69">
      <c r="K69" s="8"/>
    </row>
    <row r="70">
      <c r="K70" s="8"/>
    </row>
    <row r="71">
      <c r="K71" s="8"/>
    </row>
    <row r="72">
      <c r="K72" s="8"/>
    </row>
    <row r="73">
      <c r="K73" s="8"/>
    </row>
    <row r="74">
      <c r="K74" s="8"/>
    </row>
    <row r="75">
      <c r="K75" s="8"/>
    </row>
    <row r="76">
      <c r="K76" s="8"/>
    </row>
    <row r="77">
      <c r="K77" s="8"/>
    </row>
    <row r="78">
      <c r="K78" s="8"/>
    </row>
    <row r="79">
      <c r="K79" s="8"/>
    </row>
    <row r="80">
      <c r="K80" s="8"/>
    </row>
    <row r="81">
      <c r="K81" s="8"/>
    </row>
    <row r="82">
      <c r="K82" s="8"/>
    </row>
    <row r="83">
      <c r="K83" s="8"/>
    </row>
    <row r="84">
      <c r="K84" s="8"/>
    </row>
    <row r="85">
      <c r="K85" s="8"/>
    </row>
    <row r="86">
      <c r="K86" s="8"/>
    </row>
    <row r="87">
      <c r="K87" s="8"/>
    </row>
    <row r="88">
      <c r="K88" s="8"/>
    </row>
    <row r="89">
      <c r="K89" s="8"/>
    </row>
    <row r="90">
      <c r="K90" s="8"/>
    </row>
    <row r="91">
      <c r="K91" s="8"/>
    </row>
    <row r="92">
      <c r="K92" s="8"/>
    </row>
    <row r="93">
      <c r="K93" s="8"/>
    </row>
    <row r="94">
      <c r="K94" s="8"/>
    </row>
    <row r="95">
      <c r="K95" s="8"/>
    </row>
    <row r="96">
      <c r="K96" s="8"/>
    </row>
    <row r="97">
      <c r="K97" s="8"/>
    </row>
    <row r="98">
      <c r="K98" s="8"/>
    </row>
    <row r="99">
      <c r="K99" s="8"/>
    </row>
    <row r="100">
      <c r="K100" s="8"/>
    </row>
    <row r="101">
      <c r="K101" s="8"/>
    </row>
    <row r="102">
      <c r="K102" s="8"/>
    </row>
    <row r="103">
      <c r="K103" s="8"/>
    </row>
    <row r="104">
      <c r="K104" s="8"/>
    </row>
    <row r="105">
      <c r="K105" s="8"/>
    </row>
    <row r="106">
      <c r="K106" s="8"/>
    </row>
    <row r="107">
      <c r="K107" s="8"/>
    </row>
    <row r="108">
      <c r="K108" s="8"/>
    </row>
    <row r="109">
      <c r="K109" s="8"/>
    </row>
    <row r="110">
      <c r="K110" s="8"/>
    </row>
    <row r="111">
      <c r="K111" s="8"/>
    </row>
    <row r="112">
      <c r="K112" s="8"/>
    </row>
    <row r="113">
      <c r="K113" s="8"/>
    </row>
    <row r="114">
      <c r="K114" s="8"/>
    </row>
    <row r="115">
      <c r="K115" s="8"/>
    </row>
    <row r="116">
      <c r="K116" s="8"/>
    </row>
    <row r="117">
      <c r="K117" s="8"/>
    </row>
    <row r="118">
      <c r="K118" s="8"/>
    </row>
    <row r="119">
      <c r="K119" s="8"/>
    </row>
    <row r="120">
      <c r="K120" s="8"/>
    </row>
    <row r="121">
      <c r="K121" s="8"/>
    </row>
    <row r="122">
      <c r="K122" s="8"/>
    </row>
    <row r="123">
      <c r="K123" s="8"/>
    </row>
    <row r="124">
      <c r="K124" s="8"/>
    </row>
    <row r="125">
      <c r="K125" s="8"/>
    </row>
    <row r="126">
      <c r="K126" s="8"/>
    </row>
    <row r="127">
      <c r="K127" s="8"/>
    </row>
    <row r="128"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K135" s="8"/>
    </row>
    <row r="136">
      <c r="K136" s="8"/>
    </row>
    <row r="137">
      <c r="K137" s="8"/>
    </row>
    <row r="138">
      <c r="K138" s="8"/>
    </row>
    <row r="139">
      <c r="K139" s="8"/>
    </row>
    <row r="140">
      <c r="K140" s="8"/>
    </row>
    <row r="141">
      <c r="K141" s="8"/>
    </row>
    <row r="142">
      <c r="K142" s="8"/>
    </row>
    <row r="143">
      <c r="K143" s="8"/>
    </row>
    <row r="144">
      <c r="K144" s="8"/>
    </row>
    <row r="145">
      <c r="K145" s="8"/>
    </row>
    <row r="146">
      <c r="K146" s="8"/>
    </row>
    <row r="147">
      <c r="K147" s="8"/>
    </row>
    <row r="148">
      <c r="K148" s="8"/>
    </row>
    <row r="149">
      <c r="K149" s="8"/>
    </row>
    <row r="150">
      <c r="K150" s="8"/>
    </row>
    <row r="151">
      <c r="K151" s="8"/>
    </row>
    <row r="152">
      <c r="K152" s="8"/>
    </row>
    <row r="153">
      <c r="K153" s="8"/>
    </row>
    <row r="154">
      <c r="K154" s="8"/>
    </row>
    <row r="155">
      <c r="K155" s="8"/>
    </row>
    <row r="156">
      <c r="K156" s="8"/>
    </row>
    <row r="157">
      <c r="K157" s="8"/>
    </row>
    <row r="158">
      <c r="K158" s="8"/>
    </row>
    <row r="159">
      <c r="K159" s="8"/>
    </row>
    <row r="160">
      <c r="K160" s="8"/>
    </row>
    <row r="161">
      <c r="K161" s="8"/>
    </row>
    <row r="162">
      <c r="K162" s="8"/>
    </row>
    <row r="163">
      <c r="K163" s="8"/>
    </row>
    <row r="164">
      <c r="K164" s="8"/>
    </row>
    <row r="165">
      <c r="K165" s="8"/>
    </row>
    <row r="166">
      <c r="K166" s="8"/>
    </row>
    <row r="167">
      <c r="K167" s="8"/>
    </row>
    <row r="168">
      <c r="K168" s="8"/>
    </row>
    <row r="169">
      <c r="K169" s="8"/>
    </row>
    <row r="170">
      <c r="K170" s="8"/>
    </row>
    <row r="171">
      <c r="K171" s="8"/>
    </row>
    <row r="172">
      <c r="K172" s="8"/>
    </row>
    <row r="173">
      <c r="K173" s="8"/>
    </row>
    <row r="174">
      <c r="K174" s="8"/>
    </row>
    <row r="175">
      <c r="K175" s="8"/>
    </row>
    <row r="176">
      <c r="K176" s="8"/>
    </row>
    <row r="177">
      <c r="K177" s="8"/>
    </row>
    <row r="178">
      <c r="K178" s="8"/>
    </row>
    <row r="179">
      <c r="K179" s="8"/>
    </row>
    <row r="180">
      <c r="K180" s="8"/>
    </row>
    <row r="181">
      <c r="K181" s="8"/>
    </row>
    <row r="182">
      <c r="K182" s="8"/>
    </row>
    <row r="183">
      <c r="K183" s="8"/>
    </row>
    <row r="184">
      <c r="K184" s="8"/>
    </row>
    <row r="185">
      <c r="K185" s="8"/>
    </row>
    <row r="186">
      <c r="K186" s="8"/>
    </row>
    <row r="187">
      <c r="K187" s="8"/>
    </row>
    <row r="188">
      <c r="K188" s="8"/>
    </row>
    <row r="189">
      <c r="K189" s="8"/>
    </row>
    <row r="190">
      <c r="K190" s="8"/>
    </row>
    <row r="191">
      <c r="K191" s="8"/>
    </row>
    <row r="192">
      <c r="K192" s="8"/>
    </row>
    <row r="193">
      <c r="K193" s="8"/>
    </row>
    <row r="194"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K199" s="8"/>
    </row>
    <row r="200">
      <c r="K200" s="8"/>
    </row>
    <row r="201">
      <c r="K201" s="8"/>
    </row>
    <row r="202">
      <c r="K202" s="8"/>
    </row>
    <row r="203">
      <c r="K203" s="8"/>
    </row>
    <row r="204">
      <c r="K204" s="8"/>
    </row>
    <row r="205">
      <c r="K205" s="8"/>
    </row>
    <row r="206">
      <c r="K206" s="8"/>
    </row>
    <row r="207">
      <c r="K207" s="8"/>
    </row>
    <row r="208">
      <c r="K208" s="8"/>
    </row>
    <row r="209">
      <c r="K209" s="8"/>
    </row>
    <row r="210">
      <c r="K210" s="8"/>
    </row>
    <row r="211">
      <c r="K211" s="8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</sheetData>
  <dataValidations>
    <dataValidation type="custom" allowBlank="1" showDropDown="1" sqref="F2:F16">
      <formula1>OR(NOT(ISERROR(DATEVALUE(F2))), AND(ISNUMBER(F2), LEFT(CELL("format", F2))="D"))</formula1>
    </dataValidation>
    <dataValidation type="custom" allowBlank="1" showDropDown="1" sqref="B2:B1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