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s" sheetId="1" r:id="rId5"/>
    <sheet state="visible" name="Gas" sheetId="2" r:id="rId6"/>
  </sheets>
  <definedNames/>
  <calcPr/>
</workbook>
</file>

<file path=xl/sharedStrings.xml><?xml version="1.0" encoding="utf-8"?>
<sst xmlns="http://schemas.openxmlformats.org/spreadsheetml/2006/main" count="100" uniqueCount="25">
  <si>
    <t>Sampling_Date</t>
  </si>
  <si>
    <t>Plot</t>
  </si>
  <si>
    <t>Replicate</t>
  </si>
  <si>
    <t>Sample_ID</t>
  </si>
  <si>
    <t>Lab_No</t>
  </si>
  <si>
    <t>Date_Weighed</t>
  </si>
  <si>
    <t>Mass_Soil_g</t>
  </si>
  <si>
    <t>29-05-2025</t>
  </si>
  <si>
    <t>A</t>
  </si>
  <si>
    <t>B</t>
  </si>
  <si>
    <t>Date_Flushed</t>
  </si>
  <si>
    <t>Time_Flushed</t>
  </si>
  <si>
    <t>LGR_time</t>
  </si>
  <si>
    <t>Pre-injection</t>
  </si>
  <si>
    <t>Post-injection</t>
  </si>
  <si>
    <t>difference</t>
  </si>
  <si>
    <t>Veff</t>
  </si>
  <si>
    <t>Average</t>
  </si>
  <si>
    <t>Standard 1</t>
  </si>
  <si>
    <t>NA</t>
  </si>
  <si>
    <t>Standard 2</t>
  </si>
  <si>
    <t>Standard 3</t>
  </si>
  <si>
    <t>Zero Air 1</t>
  </si>
  <si>
    <t>Zero Air 2</t>
  </si>
  <si>
    <t>Zero Air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</si>
</sst>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mmm d, 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19" xfId="0" applyAlignment="1" applyFont="1" applyNumberFormat="1">
      <alignment readingOrder="0" shrinkToFit="0" vertical="center" wrapText="0"/>
    </xf>
    <xf borderId="0" fillId="0" fontId="2" numFmtId="19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Mas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1" displayName="Table1" name="Table1" id="1">
  <tableColumns count="7">
    <tableColumn name="Sampling_Date" id="1"/>
    <tableColumn name="Plot" id="2"/>
    <tableColumn name="Replicate" id="3"/>
    <tableColumn name="Sample_ID" id="4"/>
    <tableColumn name="Lab_No" id="5"/>
    <tableColumn name="Date_Weighed" id="6"/>
    <tableColumn name="Mass_Soil_g" id="7"/>
  </tableColumns>
  <tableStyleInfo name="Mass-style" showColumnStripes="0" showFirstColumn="1" showLastColumn="1" showRowStripes="1"/>
</table>
</file>

<file path=xl/tables/table2.xml><?xml version="1.0" encoding="utf-8"?>
<table xmlns="http://schemas.openxmlformats.org/spreadsheetml/2006/main" ref="A1:I67" displayName="Table2" name="Table2" id="2">
  <tableColumns count="9">
    <tableColumn name="Lab_No" id="1"/>
    <tableColumn name="Date_Flushed" id="2"/>
    <tableColumn name="Time_Flushed" id="3"/>
    <tableColumn name="LGR_time" id="4"/>
    <tableColumn name="Pre-injection" id="5"/>
    <tableColumn name="Post-injection" id="6"/>
    <tableColumn name="difference" id="7"/>
    <tableColumn name="Veff" id="8"/>
    <tableColumn name="Average" id="9"/>
  </tableColumns>
  <tableStyleInfo name="G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3" width="13.5"/>
    <col customWidth="1" min="4" max="4" width="14.0"/>
    <col customWidth="1" min="5" max="5" width="13.5"/>
    <col customWidth="1" min="6" max="6" width="19.38"/>
    <col customWidth="1" min="7" max="7" width="14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22.5" customHeight="1">
      <c r="A2" s="3" t="s">
        <v>7</v>
      </c>
      <c r="B2" s="4">
        <v>1.0</v>
      </c>
      <c r="C2" s="3" t="s">
        <v>8</v>
      </c>
      <c r="D2" s="4" t="str">
        <f t="shared" ref="D2:D31" si="1">"SIR_1_P"&amp;B2&amp;"_"&amp;C2</f>
        <v>SIR_1_P1_A</v>
      </c>
      <c r="E2" s="3">
        <v>1.0</v>
      </c>
      <c r="F2" s="5">
        <v>45663.0</v>
      </c>
      <c r="G2" s="3">
        <v>5.1513</v>
      </c>
    </row>
    <row r="3" ht="22.5" customHeight="1">
      <c r="A3" s="3" t="s">
        <v>7</v>
      </c>
      <c r="B3" s="4">
        <v>1.0</v>
      </c>
      <c r="C3" s="3" t="s">
        <v>9</v>
      </c>
      <c r="D3" s="4" t="str">
        <f t="shared" si="1"/>
        <v>SIR_1_P1_B</v>
      </c>
      <c r="E3" s="3">
        <v>2.0</v>
      </c>
      <c r="F3" s="5">
        <v>45663.0</v>
      </c>
      <c r="G3" s="3">
        <v>5.0663</v>
      </c>
    </row>
    <row r="4" ht="22.5" customHeight="1">
      <c r="A4" s="3" t="s">
        <v>7</v>
      </c>
      <c r="B4" s="4">
        <v>2.0</v>
      </c>
      <c r="C4" s="3" t="s">
        <v>8</v>
      </c>
      <c r="D4" s="4" t="str">
        <f t="shared" si="1"/>
        <v>SIR_1_P2_A</v>
      </c>
      <c r="E4" s="3">
        <v>3.0</v>
      </c>
      <c r="F4" s="5">
        <v>45663.0</v>
      </c>
      <c r="G4" s="3">
        <v>5.5528</v>
      </c>
    </row>
    <row r="5" ht="22.5" customHeight="1">
      <c r="A5" s="3" t="s">
        <v>7</v>
      </c>
      <c r="B5" s="4">
        <v>2.0</v>
      </c>
      <c r="C5" s="3" t="s">
        <v>9</v>
      </c>
      <c r="D5" s="4" t="str">
        <f t="shared" si="1"/>
        <v>SIR_1_P2_B</v>
      </c>
      <c r="E5" s="3">
        <v>4.0</v>
      </c>
      <c r="F5" s="5">
        <v>45663.0</v>
      </c>
      <c r="G5" s="3">
        <v>5.3823</v>
      </c>
    </row>
    <row r="6" ht="22.5" customHeight="1">
      <c r="A6" s="3" t="s">
        <v>7</v>
      </c>
      <c r="B6" s="4">
        <v>3.0</v>
      </c>
      <c r="C6" s="3" t="s">
        <v>8</v>
      </c>
      <c r="D6" s="4" t="str">
        <f t="shared" si="1"/>
        <v>SIR_1_P3_A</v>
      </c>
      <c r="E6" s="3">
        <v>5.0</v>
      </c>
      <c r="F6" s="5">
        <v>45663.0</v>
      </c>
      <c r="G6" s="3">
        <v>5.0428</v>
      </c>
    </row>
    <row r="7" ht="22.5" customHeight="1">
      <c r="A7" s="3" t="s">
        <v>7</v>
      </c>
      <c r="B7" s="4">
        <v>3.0</v>
      </c>
      <c r="C7" s="3" t="s">
        <v>9</v>
      </c>
      <c r="D7" s="4" t="str">
        <f t="shared" si="1"/>
        <v>SIR_1_P3_B</v>
      </c>
      <c r="E7" s="3">
        <v>6.0</v>
      </c>
      <c r="F7" s="5">
        <v>45663.0</v>
      </c>
      <c r="G7" s="3">
        <v>5.716</v>
      </c>
    </row>
    <row r="8" ht="22.5" customHeight="1">
      <c r="A8" s="3" t="s">
        <v>7</v>
      </c>
      <c r="B8" s="4">
        <v>4.0</v>
      </c>
      <c r="C8" s="3" t="s">
        <v>8</v>
      </c>
      <c r="D8" s="4" t="str">
        <f t="shared" si="1"/>
        <v>SIR_1_P4_A</v>
      </c>
      <c r="E8" s="3">
        <v>7.0</v>
      </c>
      <c r="F8" s="5">
        <v>45663.0</v>
      </c>
      <c r="G8" s="3">
        <v>5.713</v>
      </c>
    </row>
    <row r="9" ht="22.5" customHeight="1">
      <c r="A9" s="3" t="s">
        <v>7</v>
      </c>
      <c r="B9" s="4">
        <v>4.0</v>
      </c>
      <c r="C9" s="3" t="s">
        <v>9</v>
      </c>
      <c r="D9" s="4" t="str">
        <f t="shared" si="1"/>
        <v>SIR_1_P4_B</v>
      </c>
      <c r="E9" s="3">
        <v>8.0</v>
      </c>
      <c r="F9" s="5">
        <v>45663.0</v>
      </c>
      <c r="G9" s="3">
        <v>5.3988</v>
      </c>
    </row>
    <row r="10" ht="22.5" customHeight="1">
      <c r="A10" s="3" t="s">
        <v>7</v>
      </c>
      <c r="B10" s="4">
        <v>5.0</v>
      </c>
      <c r="C10" s="3" t="s">
        <v>8</v>
      </c>
      <c r="D10" s="4" t="str">
        <f t="shared" si="1"/>
        <v>SIR_1_P5_A</v>
      </c>
      <c r="E10" s="3">
        <v>9.0</v>
      </c>
      <c r="F10" s="5">
        <v>45663.0</v>
      </c>
      <c r="G10" s="3">
        <v>5.1883</v>
      </c>
    </row>
    <row r="11" ht="22.5" customHeight="1">
      <c r="A11" s="3" t="s">
        <v>7</v>
      </c>
      <c r="B11" s="4">
        <v>5.0</v>
      </c>
      <c r="C11" s="3" t="s">
        <v>9</v>
      </c>
      <c r="D11" s="4" t="str">
        <f t="shared" si="1"/>
        <v>SIR_1_P5_B</v>
      </c>
      <c r="E11" s="3">
        <v>10.0</v>
      </c>
      <c r="F11" s="5">
        <v>45663.0</v>
      </c>
      <c r="G11" s="3">
        <v>5.1797</v>
      </c>
    </row>
    <row r="12" ht="22.5" customHeight="1">
      <c r="A12" s="3" t="s">
        <v>7</v>
      </c>
      <c r="B12" s="4">
        <v>6.0</v>
      </c>
      <c r="C12" s="3" t="s">
        <v>8</v>
      </c>
      <c r="D12" s="4" t="str">
        <f t="shared" si="1"/>
        <v>SIR_1_P6_A</v>
      </c>
      <c r="E12" s="3">
        <v>11.0</v>
      </c>
      <c r="F12" s="5">
        <v>45663.0</v>
      </c>
      <c r="G12" s="3">
        <v>5.7733</v>
      </c>
    </row>
    <row r="13" ht="22.5" customHeight="1">
      <c r="A13" s="3" t="s">
        <v>7</v>
      </c>
      <c r="B13" s="4">
        <v>6.0</v>
      </c>
      <c r="C13" s="3" t="s">
        <v>9</v>
      </c>
      <c r="D13" s="4" t="str">
        <f t="shared" si="1"/>
        <v>SIR_1_P6_B</v>
      </c>
      <c r="E13" s="3">
        <v>12.0</v>
      </c>
      <c r="F13" s="5">
        <v>45663.0</v>
      </c>
      <c r="G13" s="3">
        <v>5.1809</v>
      </c>
    </row>
    <row r="14" ht="22.5" customHeight="1">
      <c r="A14" s="3" t="s">
        <v>7</v>
      </c>
      <c r="B14" s="4">
        <v>7.0</v>
      </c>
      <c r="C14" s="3" t="s">
        <v>8</v>
      </c>
      <c r="D14" s="4" t="str">
        <f t="shared" si="1"/>
        <v>SIR_1_P7_A</v>
      </c>
      <c r="E14" s="3">
        <v>13.0</v>
      </c>
      <c r="F14" s="5">
        <v>45663.0</v>
      </c>
      <c r="G14" s="3">
        <v>5.5475</v>
      </c>
    </row>
    <row r="15" ht="22.5" customHeight="1">
      <c r="A15" s="3" t="s">
        <v>7</v>
      </c>
      <c r="B15" s="4">
        <v>7.0</v>
      </c>
      <c r="C15" s="3" t="s">
        <v>9</v>
      </c>
      <c r="D15" s="4" t="str">
        <f t="shared" si="1"/>
        <v>SIR_1_P7_B</v>
      </c>
      <c r="E15" s="3">
        <v>14.0</v>
      </c>
      <c r="F15" s="5">
        <v>45663.0</v>
      </c>
      <c r="G15" s="3">
        <v>5.0972</v>
      </c>
    </row>
    <row r="16" ht="22.5" customHeight="1">
      <c r="A16" s="3" t="s">
        <v>7</v>
      </c>
      <c r="B16" s="4">
        <v>8.0</v>
      </c>
      <c r="C16" s="3" t="s">
        <v>8</v>
      </c>
      <c r="D16" s="4" t="str">
        <f t="shared" si="1"/>
        <v>SIR_1_P8_A</v>
      </c>
      <c r="E16" s="3">
        <v>15.0</v>
      </c>
      <c r="F16" s="5">
        <v>45663.0</v>
      </c>
      <c r="G16" s="3">
        <v>5.6516</v>
      </c>
    </row>
    <row r="17" ht="22.5" customHeight="1">
      <c r="A17" s="3" t="s">
        <v>7</v>
      </c>
      <c r="B17" s="4">
        <v>8.0</v>
      </c>
      <c r="C17" s="3" t="s">
        <v>9</v>
      </c>
      <c r="D17" s="4" t="str">
        <f t="shared" si="1"/>
        <v>SIR_1_P8_B</v>
      </c>
      <c r="E17" s="3">
        <v>16.0</v>
      </c>
      <c r="F17" s="5">
        <v>45663.0</v>
      </c>
      <c r="G17" s="3">
        <v>5.3684</v>
      </c>
    </row>
    <row r="18" ht="22.5" customHeight="1">
      <c r="A18" s="3" t="s">
        <v>7</v>
      </c>
      <c r="B18" s="4">
        <v>9.0</v>
      </c>
      <c r="C18" s="3" t="s">
        <v>8</v>
      </c>
      <c r="D18" s="4" t="str">
        <f t="shared" si="1"/>
        <v>SIR_1_P9_A</v>
      </c>
      <c r="E18" s="3">
        <v>17.0</v>
      </c>
      <c r="F18" s="5">
        <v>45663.0</v>
      </c>
      <c r="G18" s="3">
        <v>5.3262</v>
      </c>
    </row>
    <row r="19" ht="22.5" customHeight="1">
      <c r="A19" s="3" t="s">
        <v>7</v>
      </c>
      <c r="B19" s="4">
        <v>9.0</v>
      </c>
      <c r="C19" s="3" t="s">
        <v>9</v>
      </c>
      <c r="D19" s="4" t="str">
        <f t="shared" si="1"/>
        <v>SIR_1_P9_B</v>
      </c>
      <c r="E19" s="3">
        <v>18.0</v>
      </c>
      <c r="F19" s="5">
        <v>45663.0</v>
      </c>
      <c r="G19" s="3">
        <v>5.6547</v>
      </c>
    </row>
    <row r="20" ht="22.5" customHeight="1">
      <c r="A20" s="3" t="s">
        <v>7</v>
      </c>
      <c r="B20" s="4">
        <v>10.0</v>
      </c>
      <c r="C20" s="3" t="s">
        <v>8</v>
      </c>
      <c r="D20" s="4" t="str">
        <f t="shared" si="1"/>
        <v>SIR_1_P10_A</v>
      </c>
      <c r="E20" s="3">
        <v>19.0</v>
      </c>
      <c r="F20" s="5">
        <v>45663.0</v>
      </c>
      <c r="G20" s="3">
        <v>5.5724</v>
      </c>
    </row>
    <row r="21" ht="22.5" customHeight="1">
      <c r="A21" s="3" t="s">
        <v>7</v>
      </c>
      <c r="B21" s="4">
        <v>10.0</v>
      </c>
      <c r="C21" s="3" t="s">
        <v>9</v>
      </c>
      <c r="D21" s="4" t="str">
        <f t="shared" si="1"/>
        <v>SIR_1_P10_B</v>
      </c>
      <c r="E21" s="3">
        <v>20.0</v>
      </c>
      <c r="F21" s="5">
        <v>45663.0</v>
      </c>
      <c r="G21" s="3">
        <v>5.0068</v>
      </c>
    </row>
    <row r="22" ht="22.5" customHeight="1">
      <c r="A22" s="3" t="s">
        <v>7</v>
      </c>
      <c r="B22" s="4">
        <v>11.0</v>
      </c>
      <c r="C22" s="3" t="s">
        <v>8</v>
      </c>
      <c r="D22" s="4" t="str">
        <f t="shared" si="1"/>
        <v>SIR_1_P11_A</v>
      </c>
      <c r="E22" s="3">
        <v>21.0</v>
      </c>
      <c r="F22" s="5">
        <v>45663.0</v>
      </c>
      <c r="G22" s="3">
        <v>5.4742</v>
      </c>
    </row>
    <row r="23" ht="22.5" customHeight="1">
      <c r="A23" s="3" t="s">
        <v>7</v>
      </c>
      <c r="B23" s="4">
        <v>11.0</v>
      </c>
      <c r="C23" s="3" t="s">
        <v>9</v>
      </c>
      <c r="D23" s="4" t="str">
        <f t="shared" si="1"/>
        <v>SIR_1_P11_B</v>
      </c>
      <c r="E23" s="3">
        <v>22.0</v>
      </c>
      <c r="F23" s="5">
        <v>45663.0</v>
      </c>
      <c r="G23" s="3">
        <v>5.4685</v>
      </c>
    </row>
    <row r="24" ht="22.5" customHeight="1">
      <c r="A24" s="3" t="s">
        <v>7</v>
      </c>
      <c r="B24" s="4">
        <v>12.0</v>
      </c>
      <c r="C24" s="3" t="s">
        <v>8</v>
      </c>
      <c r="D24" s="4" t="str">
        <f t="shared" si="1"/>
        <v>SIR_1_P12_A</v>
      </c>
      <c r="E24" s="3">
        <v>23.0</v>
      </c>
      <c r="F24" s="5">
        <v>45663.0</v>
      </c>
      <c r="G24" s="3">
        <v>5.8142</v>
      </c>
    </row>
    <row r="25" ht="22.5" customHeight="1">
      <c r="A25" s="3" t="s">
        <v>7</v>
      </c>
      <c r="B25" s="4">
        <v>12.0</v>
      </c>
      <c r="C25" s="3" t="s">
        <v>9</v>
      </c>
      <c r="D25" s="4" t="str">
        <f t="shared" si="1"/>
        <v>SIR_1_P12_B</v>
      </c>
      <c r="E25" s="3">
        <v>24.0</v>
      </c>
      <c r="F25" s="5">
        <v>45663.0</v>
      </c>
      <c r="G25" s="3">
        <v>5.063</v>
      </c>
    </row>
    <row r="26" ht="22.5" customHeight="1">
      <c r="A26" s="3" t="s">
        <v>7</v>
      </c>
      <c r="B26" s="4">
        <v>13.0</v>
      </c>
      <c r="C26" s="3" t="s">
        <v>8</v>
      </c>
      <c r="D26" s="4" t="str">
        <f t="shared" si="1"/>
        <v>SIR_1_P13_A</v>
      </c>
      <c r="E26" s="3">
        <v>25.0</v>
      </c>
      <c r="F26" s="5">
        <v>45663.0</v>
      </c>
      <c r="G26" s="3">
        <v>5.3891</v>
      </c>
    </row>
    <row r="27" ht="22.5" customHeight="1">
      <c r="A27" s="3" t="s">
        <v>7</v>
      </c>
      <c r="B27" s="4">
        <v>13.0</v>
      </c>
      <c r="C27" s="3" t="s">
        <v>9</v>
      </c>
      <c r="D27" s="4" t="str">
        <f t="shared" si="1"/>
        <v>SIR_1_P13_B</v>
      </c>
      <c r="E27" s="3">
        <v>26.0</v>
      </c>
      <c r="F27" s="5">
        <v>45663.0</v>
      </c>
      <c r="G27" s="3">
        <v>5.7967</v>
      </c>
    </row>
    <row r="28" ht="22.5" customHeight="1">
      <c r="A28" s="3" t="s">
        <v>7</v>
      </c>
      <c r="B28" s="4">
        <v>14.0</v>
      </c>
      <c r="C28" s="3" t="s">
        <v>8</v>
      </c>
      <c r="D28" s="4" t="str">
        <f t="shared" si="1"/>
        <v>SIR_1_P14_A</v>
      </c>
      <c r="E28" s="3">
        <v>27.0</v>
      </c>
      <c r="F28" s="5">
        <v>45663.0</v>
      </c>
      <c r="G28" s="3">
        <v>5.6206</v>
      </c>
    </row>
    <row r="29" ht="22.5" customHeight="1">
      <c r="A29" s="3" t="s">
        <v>7</v>
      </c>
      <c r="B29" s="4">
        <v>14.0</v>
      </c>
      <c r="C29" s="3" t="s">
        <v>9</v>
      </c>
      <c r="D29" s="4" t="str">
        <f t="shared" si="1"/>
        <v>SIR_1_P14_B</v>
      </c>
      <c r="E29" s="3">
        <v>28.0</v>
      </c>
      <c r="F29" s="5">
        <v>45663.0</v>
      </c>
      <c r="G29" s="3">
        <v>5.8723</v>
      </c>
    </row>
    <row r="30" ht="22.5" customHeight="1">
      <c r="A30" s="3" t="s">
        <v>7</v>
      </c>
      <c r="B30" s="4">
        <v>15.0</v>
      </c>
      <c r="C30" s="3" t="s">
        <v>8</v>
      </c>
      <c r="D30" s="4" t="str">
        <f t="shared" si="1"/>
        <v>SIR_1_P15_A</v>
      </c>
      <c r="E30" s="3">
        <v>29.0</v>
      </c>
      <c r="F30" s="5">
        <v>45663.0</v>
      </c>
      <c r="G30" s="3">
        <v>5.182</v>
      </c>
    </row>
    <row r="31" ht="22.5" customHeight="1">
      <c r="A31" s="3" t="s">
        <v>7</v>
      </c>
      <c r="B31" s="4">
        <v>15.0</v>
      </c>
      <c r="C31" s="3" t="s">
        <v>9</v>
      </c>
      <c r="D31" s="4" t="str">
        <f t="shared" si="1"/>
        <v>SIR_1_P15_B</v>
      </c>
      <c r="E31" s="3">
        <v>30.0</v>
      </c>
      <c r="F31" s="5">
        <v>45663.0</v>
      </c>
      <c r="G31" s="3">
        <v>5.9064</v>
      </c>
    </row>
  </sheetData>
  <dataValidations>
    <dataValidation type="custom" allowBlank="1" showDropDown="1" sqref="F2:F31">
      <formula1>OR(NOT(ISERROR(DATEVALUE(F2))), AND(ISNUMBER(F2), LEFT(CELL("format", F2))="D"))</formula1>
    </dataValidation>
    <dataValidation type="custom" allowBlank="1" showDropDown="1" sqref="B2:B3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2.5"/>
    <col customWidth="1" min="5" max="5" width="14.75"/>
    <col customWidth="1" min="6" max="6" width="15.63"/>
  </cols>
  <sheetData>
    <row r="1" ht="22.5" customHeight="1">
      <c r="A1" s="6" t="s">
        <v>4</v>
      </c>
      <c r="B1" s="6" t="s">
        <v>10</v>
      </c>
      <c r="C1" s="6" t="s">
        <v>11</v>
      </c>
      <c r="D1" s="7" t="s">
        <v>12</v>
      </c>
      <c r="E1" s="6" t="s">
        <v>13</v>
      </c>
      <c r="F1" s="6" t="s">
        <v>14</v>
      </c>
      <c r="G1" s="8" t="s">
        <v>15</v>
      </c>
      <c r="H1" s="8" t="s">
        <v>16</v>
      </c>
      <c r="I1" s="8" t="s">
        <v>17</v>
      </c>
    </row>
    <row r="2" ht="22.5" customHeight="1">
      <c r="A2" s="9" t="s">
        <v>18</v>
      </c>
      <c r="B2" s="10" t="s">
        <v>19</v>
      </c>
      <c r="C2" s="10" t="s">
        <v>19</v>
      </c>
      <c r="D2" s="10" t="s">
        <v>19</v>
      </c>
      <c r="E2" s="10">
        <v>440.0</v>
      </c>
      <c r="F2" s="10">
        <v>463.0</v>
      </c>
      <c r="G2" s="9">
        <f t="shared" ref="G2:G37" si="1">F2-E2</f>
        <v>23</v>
      </c>
      <c r="H2" s="9">
        <f t="shared" ref="H2:H4" si="2">(5*(1976-F2))/G2</f>
        <v>328.9130435</v>
      </c>
      <c r="I2" s="9">
        <f>average(H2:H7)</f>
        <v>347.9484401</v>
      </c>
    </row>
    <row r="3" ht="22.5" customHeight="1">
      <c r="A3" s="9" t="s">
        <v>20</v>
      </c>
      <c r="B3" s="10" t="s">
        <v>19</v>
      </c>
      <c r="C3" s="10" t="s">
        <v>19</v>
      </c>
      <c r="D3" s="10" t="s">
        <v>19</v>
      </c>
      <c r="E3" s="10">
        <v>438.0</v>
      </c>
      <c r="F3" s="10">
        <v>460.0</v>
      </c>
      <c r="G3" s="9">
        <f t="shared" si="1"/>
        <v>22</v>
      </c>
      <c r="H3" s="9">
        <f t="shared" si="2"/>
        <v>344.5454545</v>
      </c>
      <c r="I3" s="9"/>
    </row>
    <row r="4" ht="22.5" customHeight="1">
      <c r="A4" s="9" t="s">
        <v>21</v>
      </c>
      <c r="B4" s="10" t="s">
        <v>19</v>
      </c>
      <c r="C4" s="10" t="s">
        <v>19</v>
      </c>
      <c r="D4" s="10" t="s">
        <v>19</v>
      </c>
      <c r="E4" s="10">
        <v>443.0</v>
      </c>
      <c r="F4" s="10">
        <v>467.0</v>
      </c>
      <c r="G4" s="9">
        <f t="shared" si="1"/>
        <v>24</v>
      </c>
      <c r="H4" s="9">
        <f t="shared" si="2"/>
        <v>314.375</v>
      </c>
      <c r="I4" s="9"/>
    </row>
    <row r="5" ht="22.5" customHeight="1">
      <c r="A5" s="10" t="s">
        <v>22</v>
      </c>
      <c r="B5" s="10" t="s">
        <v>19</v>
      </c>
      <c r="C5" s="10" t="s">
        <v>19</v>
      </c>
      <c r="D5" s="10" t="s">
        <v>19</v>
      </c>
      <c r="E5" s="10">
        <v>438.0</v>
      </c>
      <c r="F5" s="10">
        <v>432.0</v>
      </c>
      <c r="G5" s="11">
        <f t="shared" si="1"/>
        <v>-6</v>
      </c>
      <c r="H5" s="11">
        <f t="shared" ref="H5:H7" si="3">(5*(0-F5))/G5</f>
        <v>360</v>
      </c>
      <c r="I5" s="11"/>
    </row>
    <row r="6" ht="22.5" customHeight="1">
      <c r="A6" s="10" t="s">
        <v>23</v>
      </c>
      <c r="B6" s="10" t="s">
        <v>19</v>
      </c>
      <c r="C6" s="10" t="s">
        <v>19</v>
      </c>
      <c r="D6" s="10" t="s">
        <v>19</v>
      </c>
      <c r="E6" s="10">
        <v>437.0</v>
      </c>
      <c r="F6" s="10">
        <v>432.0</v>
      </c>
      <c r="G6" s="11">
        <f t="shared" si="1"/>
        <v>-5</v>
      </c>
      <c r="H6" s="11">
        <f t="shared" si="3"/>
        <v>432</v>
      </c>
      <c r="I6" s="11"/>
    </row>
    <row r="7" ht="22.5" customHeight="1">
      <c r="A7" s="10" t="s">
        <v>24</v>
      </c>
      <c r="B7" s="10" t="s">
        <v>19</v>
      </c>
      <c r="C7" s="10" t="s">
        <v>19</v>
      </c>
      <c r="D7" s="10" t="s">
        <v>19</v>
      </c>
      <c r="E7" s="10">
        <v>438.0</v>
      </c>
      <c r="F7" s="10">
        <v>431.0</v>
      </c>
      <c r="G7" s="11">
        <f t="shared" si="1"/>
        <v>-7</v>
      </c>
      <c r="H7" s="11">
        <f t="shared" si="3"/>
        <v>307.8571429</v>
      </c>
      <c r="I7" s="11"/>
    </row>
    <row r="8" ht="22.5" customHeight="1">
      <c r="A8" s="3">
        <v>1.0</v>
      </c>
      <c r="B8" s="12">
        <v>45820.0</v>
      </c>
      <c r="C8" s="13">
        <v>0.4861111111111111</v>
      </c>
      <c r="D8" s="14"/>
      <c r="E8" s="10">
        <v>438.0</v>
      </c>
      <c r="F8" s="10">
        <v>500.0</v>
      </c>
      <c r="G8" s="9">
        <f t="shared" si="1"/>
        <v>62</v>
      </c>
      <c r="H8" s="9"/>
      <c r="I8" s="9"/>
    </row>
    <row r="9" ht="22.5" customHeight="1">
      <c r="A9" s="3">
        <v>2.0</v>
      </c>
      <c r="B9" s="12">
        <v>45820.0</v>
      </c>
      <c r="C9" s="13">
        <v>0.4861111111111111</v>
      </c>
      <c r="D9" s="14"/>
      <c r="E9" s="10">
        <v>440.0</v>
      </c>
      <c r="F9" s="10">
        <v>514.0</v>
      </c>
      <c r="G9" s="9">
        <f t="shared" si="1"/>
        <v>74</v>
      </c>
      <c r="H9" s="9"/>
      <c r="I9" s="9"/>
    </row>
    <row r="10" ht="22.5" customHeight="1">
      <c r="A10" s="3">
        <v>3.0</v>
      </c>
      <c r="B10" s="12">
        <v>45820.0</v>
      </c>
      <c r="C10" s="13">
        <v>0.4861111111111111</v>
      </c>
      <c r="D10" s="13">
        <v>0.6967592592592593</v>
      </c>
      <c r="E10" s="10">
        <v>444.0</v>
      </c>
      <c r="F10" s="10">
        <v>502.0</v>
      </c>
      <c r="G10" s="9">
        <f t="shared" si="1"/>
        <v>58</v>
      </c>
      <c r="H10" s="9"/>
      <c r="I10" s="9"/>
    </row>
    <row r="11" ht="22.5" customHeight="1">
      <c r="A11" s="3">
        <v>4.0</v>
      </c>
      <c r="B11" s="12">
        <v>45820.0</v>
      </c>
      <c r="C11" s="13">
        <v>0.4861111111111111</v>
      </c>
      <c r="D11" s="14"/>
      <c r="E11" s="10">
        <v>438.0</v>
      </c>
      <c r="F11" s="10">
        <v>492.0</v>
      </c>
      <c r="G11" s="9">
        <f t="shared" si="1"/>
        <v>54</v>
      </c>
      <c r="H11" s="9"/>
      <c r="I11" s="9"/>
    </row>
    <row r="12" ht="22.5" customHeight="1">
      <c r="A12" s="3">
        <v>5.0</v>
      </c>
      <c r="B12" s="12">
        <v>45820.0</v>
      </c>
      <c r="C12" s="13">
        <v>0.4861111111111111</v>
      </c>
      <c r="D12" s="14"/>
      <c r="E12" s="10">
        <v>437.0</v>
      </c>
      <c r="F12" s="10">
        <v>483.0</v>
      </c>
      <c r="G12" s="9">
        <f t="shared" si="1"/>
        <v>46</v>
      </c>
      <c r="H12" s="9"/>
      <c r="I12" s="9"/>
    </row>
    <row r="13" ht="22.5" customHeight="1">
      <c r="A13" s="3">
        <v>6.0</v>
      </c>
      <c r="B13" s="12">
        <v>45820.0</v>
      </c>
      <c r="C13" s="13">
        <v>0.4861111111111111</v>
      </c>
      <c r="D13" s="13">
        <v>0.7055555555555556</v>
      </c>
      <c r="E13" s="10">
        <v>438.0</v>
      </c>
      <c r="F13" s="10">
        <v>489.0</v>
      </c>
      <c r="G13" s="9">
        <f t="shared" si="1"/>
        <v>51</v>
      </c>
      <c r="H13" s="9"/>
      <c r="I13" s="9"/>
    </row>
    <row r="14" ht="22.5" customHeight="1">
      <c r="A14" s="3">
        <v>7.0</v>
      </c>
      <c r="B14" s="12">
        <v>45820.0</v>
      </c>
      <c r="C14" s="13">
        <v>0.4861111111111111</v>
      </c>
      <c r="D14" s="13">
        <v>0.7069444444444445</v>
      </c>
      <c r="E14" s="10">
        <v>433.0</v>
      </c>
      <c r="F14" s="10">
        <v>509.0</v>
      </c>
      <c r="G14" s="9">
        <f t="shared" si="1"/>
        <v>76</v>
      </c>
      <c r="H14" s="9"/>
      <c r="I14" s="9"/>
    </row>
    <row r="15" ht="22.5" customHeight="1">
      <c r="A15" s="3">
        <v>8.0</v>
      </c>
      <c r="B15" s="12">
        <v>45820.0</v>
      </c>
      <c r="C15" s="13">
        <v>0.4861111111111111</v>
      </c>
      <c r="D15" s="13">
        <v>0.7076388888888889</v>
      </c>
      <c r="E15" s="10">
        <v>432.0</v>
      </c>
      <c r="F15" s="10">
        <v>506.0</v>
      </c>
      <c r="G15" s="9">
        <f t="shared" si="1"/>
        <v>74</v>
      </c>
      <c r="H15" s="9"/>
      <c r="I15" s="9"/>
    </row>
    <row r="16" ht="22.5" customHeight="1">
      <c r="A16" s="3">
        <v>9.0</v>
      </c>
      <c r="B16" s="12">
        <v>45820.0</v>
      </c>
      <c r="C16" s="13">
        <v>0.4861111111111111</v>
      </c>
      <c r="D16" s="13">
        <v>0.7104166666666667</v>
      </c>
      <c r="E16" s="10">
        <v>435.0</v>
      </c>
      <c r="F16" s="10">
        <v>479.0</v>
      </c>
      <c r="G16" s="9">
        <f t="shared" si="1"/>
        <v>44</v>
      </c>
      <c r="H16" s="9"/>
      <c r="I16" s="9"/>
    </row>
    <row r="17" ht="22.5" customHeight="1">
      <c r="A17" s="3">
        <v>10.0</v>
      </c>
      <c r="B17" s="12">
        <v>45820.0</v>
      </c>
      <c r="C17" s="13">
        <v>0.4861111111111111</v>
      </c>
      <c r="D17" s="13">
        <v>0.7131944444444445</v>
      </c>
      <c r="E17" s="10">
        <v>434.0</v>
      </c>
      <c r="F17" s="10">
        <v>494.0</v>
      </c>
      <c r="G17" s="9">
        <f t="shared" si="1"/>
        <v>60</v>
      </c>
      <c r="H17" s="9"/>
      <c r="I17" s="9"/>
    </row>
    <row r="18" ht="22.5" customHeight="1">
      <c r="A18" s="3">
        <v>11.0</v>
      </c>
      <c r="B18" s="12">
        <v>45820.0</v>
      </c>
      <c r="C18" s="13">
        <v>0.4861111111111111</v>
      </c>
      <c r="D18" s="13">
        <v>0.7152777777777778</v>
      </c>
      <c r="E18" s="10">
        <v>433.0</v>
      </c>
      <c r="F18" s="10">
        <v>497.0</v>
      </c>
      <c r="G18" s="9">
        <f t="shared" si="1"/>
        <v>64</v>
      </c>
      <c r="H18" s="9"/>
      <c r="I18" s="9"/>
    </row>
    <row r="19" ht="22.5" customHeight="1">
      <c r="A19" s="3">
        <v>12.0</v>
      </c>
      <c r="B19" s="12">
        <v>45820.0</v>
      </c>
      <c r="C19" s="13">
        <v>0.4861111111111111</v>
      </c>
      <c r="D19" s="13">
        <v>0.7159722222222222</v>
      </c>
      <c r="E19" s="10">
        <v>430.0</v>
      </c>
      <c r="F19" s="10">
        <v>482.0</v>
      </c>
      <c r="G19" s="9">
        <f t="shared" si="1"/>
        <v>52</v>
      </c>
      <c r="H19" s="9"/>
      <c r="I19" s="9"/>
    </row>
    <row r="20" ht="22.5" customHeight="1">
      <c r="A20" s="3">
        <v>13.0</v>
      </c>
      <c r="B20" s="12">
        <v>45820.0</v>
      </c>
      <c r="C20" s="13">
        <v>0.4861111111111111</v>
      </c>
      <c r="D20" s="13">
        <v>0.7166666666666667</v>
      </c>
      <c r="E20" s="10">
        <v>429.0</v>
      </c>
      <c r="F20" s="10">
        <v>498.0</v>
      </c>
      <c r="G20" s="9">
        <f t="shared" si="1"/>
        <v>69</v>
      </c>
      <c r="H20" s="9"/>
      <c r="I20" s="9"/>
    </row>
    <row r="21" ht="22.5" customHeight="1">
      <c r="A21" s="3">
        <v>14.0</v>
      </c>
      <c r="B21" s="12">
        <v>45820.0</v>
      </c>
      <c r="C21" s="13">
        <v>0.4861111111111111</v>
      </c>
      <c r="D21" s="13">
        <v>0.7180555555555556</v>
      </c>
      <c r="E21" s="10">
        <v>428.0</v>
      </c>
      <c r="F21" s="10">
        <v>504.0</v>
      </c>
      <c r="G21" s="9">
        <f t="shared" si="1"/>
        <v>76</v>
      </c>
      <c r="H21" s="9"/>
      <c r="I21" s="9"/>
    </row>
    <row r="22" ht="22.5" customHeight="1">
      <c r="A22" s="3">
        <v>15.0</v>
      </c>
      <c r="B22" s="12">
        <v>45820.0</v>
      </c>
      <c r="C22" s="13">
        <v>0.4861111111111111</v>
      </c>
      <c r="D22" s="13">
        <v>0.7194444444444444</v>
      </c>
      <c r="E22" s="10">
        <v>425.0</v>
      </c>
      <c r="F22" s="10">
        <v>485.0</v>
      </c>
      <c r="G22" s="9">
        <f t="shared" si="1"/>
        <v>60</v>
      </c>
      <c r="H22" s="9"/>
      <c r="I22" s="9"/>
    </row>
    <row r="23" ht="22.5" customHeight="1">
      <c r="A23" s="3">
        <v>16.0</v>
      </c>
      <c r="B23" s="12">
        <v>45820.0</v>
      </c>
      <c r="C23" s="13">
        <v>0.4861111111111111</v>
      </c>
      <c r="D23" s="13">
        <v>0.7201388888888889</v>
      </c>
      <c r="E23" s="10">
        <v>427.0</v>
      </c>
      <c r="F23" s="10">
        <v>492.0</v>
      </c>
      <c r="G23" s="9">
        <f t="shared" si="1"/>
        <v>65</v>
      </c>
      <c r="H23" s="9"/>
      <c r="I23" s="9"/>
    </row>
    <row r="24" ht="22.5" customHeight="1">
      <c r="A24" s="3">
        <v>17.0</v>
      </c>
      <c r="B24" s="12">
        <v>45820.0</v>
      </c>
      <c r="C24" s="13">
        <v>0.4861111111111111</v>
      </c>
      <c r="D24" s="13">
        <v>0.7215277777777778</v>
      </c>
      <c r="E24" s="10">
        <v>424.0</v>
      </c>
      <c r="F24" s="10">
        <v>473.0</v>
      </c>
      <c r="G24" s="9">
        <f t="shared" si="1"/>
        <v>49</v>
      </c>
      <c r="H24" s="9"/>
      <c r="I24" s="9"/>
    </row>
    <row r="25" ht="22.5" customHeight="1">
      <c r="A25" s="3">
        <v>18.0</v>
      </c>
      <c r="B25" s="12">
        <v>45820.0</v>
      </c>
      <c r="C25" s="13">
        <v>0.4861111111111111</v>
      </c>
      <c r="D25" s="13">
        <v>0.7222222222222222</v>
      </c>
      <c r="E25" s="10">
        <v>423.0</v>
      </c>
      <c r="F25" s="10">
        <v>501.0</v>
      </c>
      <c r="G25" s="9">
        <f t="shared" si="1"/>
        <v>78</v>
      </c>
      <c r="H25" s="9"/>
      <c r="I25" s="9"/>
    </row>
    <row r="26" ht="22.5" customHeight="1">
      <c r="A26" s="3">
        <v>19.0</v>
      </c>
      <c r="B26" s="12">
        <v>45820.0</v>
      </c>
      <c r="C26" s="13">
        <v>0.4861111111111111</v>
      </c>
      <c r="D26" s="13">
        <v>0.7243055555555555</v>
      </c>
      <c r="E26" s="10">
        <v>429.0</v>
      </c>
      <c r="F26" s="10">
        <v>480.0</v>
      </c>
      <c r="G26" s="9">
        <f t="shared" si="1"/>
        <v>51</v>
      </c>
      <c r="H26" s="9"/>
      <c r="I26" s="9"/>
    </row>
    <row r="27" ht="22.5" customHeight="1">
      <c r="A27" s="3">
        <v>20.0</v>
      </c>
      <c r="B27" s="12">
        <v>45820.0</v>
      </c>
      <c r="C27" s="13">
        <v>0.4861111111111111</v>
      </c>
      <c r="D27" s="13">
        <v>0.7243055555555555</v>
      </c>
      <c r="E27" s="10">
        <v>421.0</v>
      </c>
      <c r="F27" s="10">
        <v>476.0</v>
      </c>
      <c r="G27" s="9">
        <f t="shared" si="1"/>
        <v>55</v>
      </c>
      <c r="H27" s="9"/>
      <c r="I27" s="9"/>
    </row>
    <row r="28" ht="22.5" customHeight="1">
      <c r="A28" s="3">
        <v>21.0</v>
      </c>
      <c r="B28" s="12">
        <v>45820.0</v>
      </c>
      <c r="C28" s="13">
        <v>0.4861111111111111</v>
      </c>
      <c r="D28" s="13">
        <v>0.7263888888888889</v>
      </c>
      <c r="E28" s="10">
        <v>422.0</v>
      </c>
      <c r="F28" s="10">
        <v>513.0</v>
      </c>
      <c r="G28" s="9">
        <f t="shared" si="1"/>
        <v>91</v>
      </c>
      <c r="H28" s="9"/>
      <c r="I28" s="9"/>
    </row>
    <row r="29" ht="22.5" customHeight="1">
      <c r="A29" s="3">
        <v>22.0</v>
      </c>
      <c r="B29" s="12">
        <v>45820.0</v>
      </c>
      <c r="C29" s="13">
        <v>0.4861111111111111</v>
      </c>
      <c r="D29" s="13">
        <v>0.73125</v>
      </c>
      <c r="E29" s="10">
        <v>422.0</v>
      </c>
      <c r="F29" s="10">
        <v>497.0</v>
      </c>
      <c r="G29" s="9">
        <f t="shared" si="1"/>
        <v>75</v>
      </c>
      <c r="H29" s="9"/>
      <c r="I29" s="9"/>
    </row>
    <row r="30" ht="22.5" customHeight="1">
      <c r="A30" s="3">
        <v>23.0</v>
      </c>
      <c r="B30" s="12">
        <v>45820.0</v>
      </c>
      <c r="C30" s="13">
        <v>0.4861111111111111</v>
      </c>
      <c r="D30" s="13">
        <v>0.7354166666666667</v>
      </c>
      <c r="E30" s="10">
        <v>416.0</v>
      </c>
      <c r="F30" s="10">
        <v>507.0</v>
      </c>
      <c r="G30" s="9">
        <f t="shared" si="1"/>
        <v>91</v>
      </c>
      <c r="H30" s="9"/>
      <c r="I30" s="9"/>
    </row>
    <row r="31" ht="22.5" customHeight="1">
      <c r="A31" s="3">
        <v>24.0</v>
      </c>
      <c r="B31" s="12">
        <v>45820.0</v>
      </c>
      <c r="C31" s="13">
        <v>0.4861111111111111</v>
      </c>
      <c r="D31" s="13">
        <v>0.7361111111111112</v>
      </c>
      <c r="E31" s="10">
        <v>417.0</v>
      </c>
      <c r="F31" s="10">
        <v>517.0</v>
      </c>
      <c r="G31" s="9">
        <f t="shared" si="1"/>
        <v>100</v>
      </c>
      <c r="H31" s="9"/>
      <c r="I31" s="9"/>
    </row>
    <row r="32" ht="22.5" customHeight="1">
      <c r="A32" s="3">
        <v>25.0</v>
      </c>
      <c r="B32" s="12">
        <v>45820.0</v>
      </c>
      <c r="C32" s="13">
        <v>0.4861111111111111</v>
      </c>
      <c r="D32" s="13">
        <v>0.7375</v>
      </c>
      <c r="E32" s="10">
        <v>419.0</v>
      </c>
      <c r="F32" s="10">
        <v>508.0</v>
      </c>
      <c r="G32" s="9">
        <f t="shared" si="1"/>
        <v>89</v>
      </c>
      <c r="H32" s="9"/>
      <c r="I32" s="9"/>
    </row>
    <row r="33" ht="22.5" customHeight="1">
      <c r="A33" s="3">
        <v>26.0</v>
      </c>
      <c r="B33" s="12">
        <v>45820.0</v>
      </c>
      <c r="C33" s="13">
        <v>0.4861111111111111</v>
      </c>
      <c r="D33" s="13">
        <v>0.7388888888888889</v>
      </c>
      <c r="E33" s="10">
        <v>421.0</v>
      </c>
      <c r="F33" s="10">
        <v>507.0</v>
      </c>
      <c r="G33" s="9">
        <f t="shared" si="1"/>
        <v>86</v>
      </c>
      <c r="H33" s="9"/>
      <c r="I33" s="9"/>
    </row>
    <row r="34" ht="22.5" customHeight="1">
      <c r="A34" s="3">
        <v>27.0</v>
      </c>
      <c r="B34" s="12">
        <v>45820.0</v>
      </c>
      <c r="C34" s="13">
        <v>0.4861111111111111</v>
      </c>
      <c r="D34" s="13">
        <v>0.7402777777777778</v>
      </c>
      <c r="E34" s="10">
        <v>420.0</v>
      </c>
      <c r="F34" s="10">
        <v>505.0</v>
      </c>
      <c r="G34" s="9">
        <f t="shared" si="1"/>
        <v>85</v>
      </c>
      <c r="H34" s="9"/>
      <c r="I34" s="9"/>
    </row>
    <row r="35" ht="22.5" customHeight="1">
      <c r="A35" s="3">
        <v>28.0</v>
      </c>
      <c r="B35" s="12">
        <v>45820.0</v>
      </c>
      <c r="C35" s="13">
        <v>0.4861111111111111</v>
      </c>
      <c r="D35" s="13">
        <v>0.7416666666666667</v>
      </c>
      <c r="E35" s="10">
        <v>419.0</v>
      </c>
      <c r="F35" s="10">
        <v>517.0</v>
      </c>
      <c r="G35" s="9">
        <f t="shared" si="1"/>
        <v>98</v>
      </c>
      <c r="H35" s="9"/>
      <c r="I35" s="9"/>
    </row>
    <row r="36" ht="22.5" customHeight="1">
      <c r="A36" s="3">
        <v>29.0</v>
      </c>
      <c r="B36" s="12">
        <v>45820.0</v>
      </c>
      <c r="C36" s="13">
        <v>0.4861111111111111</v>
      </c>
      <c r="D36" s="13">
        <v>0.7423611111111111</v>
      </c>
      <c r="E36" s="10">
        <v>419.0</v>
      </c>
      <c r="F36" s="10">
        <v>465.0</v>
      </c>
      <c r="G36" s="9">
        <f t="shared" si="1"/>
        <v>46</v>
      </c>
      <c r="H36" s="9"/>
      <c r="I36" s="9"/>
    </row>
    <row r="37" ht="22.5" customHeight="1">
      <c r="A37" s="3">
        <v>30.0</v>
      </c>
      <c r="B37" s="12">
        <v>45820.0</v>
      </c>
      <c r="C37" s="13">
        <v>0.4861111111111111</v>
      </c>
      <c r="D37" s="13">
        <v>0.7430555555555556</v>
      </c>
      <c r="E37" s="10">
        <v>420.0</v>
      </c>
      <c r="F37" s="10">
        <v>519.0</v>
      </c>
      <c r="G37" s="9">
        <f t="shared" si="1"/>
        <v>99</v>
      </c>
      <c r="H37" s="9"/>
      <c r="I37" s="9"/>
    </row>
    <row r="38" ht="22.5" customHeight="1">
      <c r="A38" s="9"/>
      <c r="B38" s="9"/>
      <c r="C38" s="9"/>
      <c r="D38" s="9"/>
      <c r="E38" s="9"/>
      <c r="F38" s="9"/>
      <c r="G38" s="9"/>
      <c r="H38" s="9"/>
      <c r="I38" s="9"/>
    </row>
    <row r="39" ht="22.5" customHeight="1">
      <c r="A39" s="9"/>
      <c r="B39" s="9"/>
      <c r="C39" s="9"/>
      <c r="D39" s="9"/>
      <c r="E39" s="9"/>
      <c r="F39" s="9"/>
      <c r="G39" s="9"/>
      <c r="H39" s="9"/>
      <c r="I39" s="9"/>
    </row>
    <row r="40" ht="22.5" customHeight="1">
      <c r="A40" s="9"/>
      <c r="B40" s="9"/>
      <c r="C40" s="9"/>
      <c r="D40" s="9"/>
      <c r="E40" s="9"/>
      <c r="F40" s="9"/>
      <c r="G40" s="9"/>
      <c r="H40" s="9"/>
      <c r="I40" s="9"/>
    </row>
    <row r="41" ht="22.5" customHeight="1">
      <c r="A41" s="9"/>
      <c r="B41" s="9"/>
      <c r="C41" s="9"/>
      <c r="D41" s="9"/>
      <c r="E41" s="9"/>
      <c r="F41" s="9"/>
      <c r="G41" s="9"/>
      <c r="H41" s="9"/>
      <c r="I41" s="9"/>
    </row>
    <row r="42" ht="22.5" customHeight="1">
      <c r="A42" s="9"/>
      <c r="B42" s="9"/>
      <c r="C42" s="9"/>
      <c r="D42" s="9"/>
      <c r="E42" s="9"/>
      <c r="F42" s="9"/>
      <c r="G42" s="9"/>
      <c r="H42" s="9"/>
      <c r="I42" s="9"/>
    </row>
    <row r="43" ht="22.5" customHeight="1">
      <c r="A43" s="9"/>
      <c r="B43" s="9"/>
      <c r="C43" s="9"/>
      <c r="D43" s="9"/>
      <c r="E43" s="9"/>
      <c r="F43" s="9"/>
      <c r="G43" s="9"/>
      <c r="H43" s="9"/>
      <c r="I43" s="9"/>
    </row>
    <row r="44" ht="22.5" customHeight="1">
      <c r="A44" s="9"/>
      <c r="B44" s="9"/>
      <c r="C44" s="9"/>
      <c r="D44" s="9"/>
      <c r="E44" s="9"/>
      <c r="F44" s="9"/>
      <c r="G44" s="9"/>
      <c r="H44" s="9"/>
      <c r="I44" s="9"/>
    </row>
    <row r="45" ht="22.5" customHeight="1">
      <c r="A45" s="9"/>
      <c r="B45" s="9"/>
      <c r="C45" s="9"/>
      <c r="D45" s="9"/>
      <c r="E45" s="9"/>
      <c r="F45" s="9"/>
      <c r="G45" s="9"/>
      <c r="H45" s="9"/>
      <c r="I45" s="9"/>
    </row>
    <row r="46" ht="22.5" customHeight="1">
      <c r="A46" s="9"/>
      <c r="B46" s="9"/>
      <c r="C46" s="9"/>
      <c r="D46" s="9"/>
      <c r="E46" s="9"/>
      <c r="F46" s="9"/>
      <c r="G46" s="9"/>
      <c r="H46" s="9"/>
      <c r="I46" s="9"/>
    </row>
    <row r="47" ht="22.5" customHeight="1">
      <c r="A47" s="9"/>
      <c r="B47" s="9"/>
      <c r="C47" s="9"/>
      <c r="D47" s="9"/>
      <c r="E47" s="9"/>
      <c r="F47" s="9"/>
      <c r="G47" s="9"/>
      <c r="H47" s="9"/>
      <c r="I47" s="9"/>
    </row>
    <row r="48" ht="22.5" customHeight="1">
      <c r="A48" s="9"/>
      <c r="B48" s="9"/>
      <c r="C48" s="9"/>
      <c r="D48" s="9"/>
      <c r="E48" s="9"/>
      <c r="F48" s="9"/>
      <c r="G48" s="9"/>
      <c r="H48" s="9"/>
      <c r="I48" s="9"/>
    </row>
    <row r="49" ht="22.5" customHeight="1">
      <c r="A49" s="9"/>
      <c r="B49" s="9"/>
      <c r="C49" s="9"/>
      <c r="D49" s="9"/>
      <c r="E49" s="9"/>
      <c r="F49" s="9"/>
      <c r="G49" s="9"/>
      <c r="H49" s="9"/>
      <c r="I49" s="9"/>
    </row>
    <row r="50" ht="22.5" customHeight="1">
      <c r="A50" s="9"/>
      <c r="B50" s="9"/>
      <c r="C50" s="9"/>
      <c r="D50" s="9"/>
      <c r="E50" s="9"/>
      <c r="F50" s="9"/>
      <c r="G50" s="9"/>
      <c r="H50" s="9"/>
      <c r="I50" s="9"/>
    </row>
    <row r="51" ht="22.5" customHeight="1">
      <c r="A51" s="9"/>
      <c r="B51" s="9"/>
      <c r="C51" s="9"/>
      <c r="D51" s="9"/>
      <c r="E51" s="9"/>
      <c r="F51" s="9"/>
      <c r="G51" s="9"/>
      <c r="H51" s="9"/>
      <c r="I51" s="9"/>
    </row>
    <row r="52" ht="22.5" customHeight="1">
      <c r="A52" s="9"/>
      <c r="B52" s="9"/>
      <c r="C52" s="9"/>
      <c r="D52" s="9"/>
      <c r="E52" s="9"/>
      <c r="F52" s="9"/>
      <c r="G52" s="9"/>
      <c r="H52" s="9"/>
      <c r="I52" s="9"/>
    </row>
    <row r="53" ht="22.5" customHeight="1">
      <c r="A53" s="9"/>
      <c r="B53" s="9"/>
      <c r="C53" s="9"/>
      <c r="D53" s="9"/>
      <c r="E53" s="9"/>
      <c r="F53" s="9"/>
      <c r="G53" s="9"/>
      <c r="H53" s="9"/>
      <c r="I53" s="9"/>
    </row>
    <row r="54" ht="22.5" customHeight="1">
      <c r="A54" s="9"/>
      <c r="B54" s="9"/>
      <c r="C54" s="9"/>
      <c r="D54" s="9"/>
      <c r="E54" s="9"/>
      <c r="F54" s="9"/>
      <c r="G54" s="9"/>
      <c r="H54" s="9"/>
      <c r="I54" s="9"/>
    </row>
    <row r="55" ht="22.5" customHeight="1">
      <c r="A55" s="9"/>
      <c r="B55" s="9"/>
      <c r="C55" s="9"/>
      <c r="D55" s="9"/>
      <c r="E55" s="9"/>
      <c r="F55" s="9"/>
      <c r="G55" s="9"/>
      <c r="H55" s="9"/>
      <c r="I55" s="9"/>
    </row>
    <row r="56" ht="22.5" customHeight="1">
      <c r="A56" s="9"/>
      <c r="B56" s="9"/>
      <c r="C56" s="9"/>
      <c r="D56" s="9"/>
      <c r="E56" s="9"/>
      <c r="F56" s="9"/>
      <c r="G56" s="9"/>
      <c r="H56" s="9"/>
      <c r="I56" s="9"/>
    </row>
    <row r="57" ht="22.5" customHeight="1">
      <c r="A57" s="9"/>
      <c r="B57" s="9"/>
      <c r="C57" s="9"/>
      <c r="D57" s="9"/>
      <c r="E57" s="9"/>
      <c r="F57" s="9"/>
      <c r="G57" s="9"/>
      <c r="H57" s="9"/>
      <c r="I57" s="9"/>
    </row>
    <row r="58" ht="22.5" customHeight="1">
      <c r="A58" s="9"/>
      <c r="B58" s="9"/>
      <c r="C58" s="9"/>
      <c r="D58" s="9"/>
      <c r="E58" s="9"/>
      <c r="F58" s="9"/>
      <c r="G58" s="9"/>
      <c r="H58" s="9"/>
      <c r="I58" s="9"/>
    </row>
    <row r="59" ht="22.5" customHeight="1">
      <c r="A59" s="9"/>
      <c r="B59" s="9"/>
      <c r="C59" s="9"/>
      <c r="D59" s="9"/>
      <c r="E59" s="9"/>
      <c r="F59" s="9"/>
      <c r="G59" s="9"/>
      <c r="H59" s="9"/>
      <c r="I59" s="9"/>
    </row>
    <row r="60" ht="22.5" customHeight="1">
      <c r="A60" s="9"/>
      <c r="B60" s="9"/>
      <c r="C60" s="9"/>
      <c r="D60" s="9"/>
      <c r="E60" s="9"/>
      <c r="F60" s="9"/>
      <c r="G60" s="9"/>
      <c r="H60" s="9"/>
      <c r="I60" s="9"/>
    </row>
    <row r="61" ht="22.5" customHeight="1">
      <c r="A61" s="9"/>
      <c r="B61" s="9"/>
      <c r="C61" s="9"/>
      <c r="D61" s="9"/>
      <c r="E61" s="9"/>
      <c r="F61" s="9"/>
      <c r="G61" s="9"/>
      <c r="H61" s="9"/>
      <c r="I61" s="9"/>
    </row>
    <row r="62" ht="22.5" customHeight="1">
      <c r="A62" s="9"/>
      <c r="B62" s="9"/>
      <c r="C62" s="9"/>
      <c r="D62" s="9"/>
      <c r="E62" s="9"/>
      <c r="F62" s="9"/>
      <c r="G62" s="9"/>
      <c r="H62" s="9"/>
      <c r="I62" s="9"/>
    </row>
    <row r="63" ht="22.5" customHeight="1">
      <c r="A63" s="9"/>
      <c r="B63" s="9"/>
      <c r="C63" s="9"/>
      <c r="D63" s="9"/>
      <c r="E63" s="9"/>
      <c r="F63" s="9"/>
      <c r="G63" s="9"/>
      <c r="H63" s="9"/>
      <c r="I63" s="9"/>
    </row>
    <row r="64" ht="22.5" customHeight="1">
      <c r="A64" s="9"/>
      <c r="B64" s="9"/>
      <c r="C64" s="9"/>
      <c r="D64" s="9"/>
      <c r="E64" s="9"/>
      <c r="F64" s="9"/>
      <c r="G64" s="9"/>
      <c r="H64" s="9"/>
      <c r="I64" s="9"/>
    </row>
    <row r="65" ht="22.5" customHeight="1">
      <c r="A65" s="9"/>
      <c r="B65" s="9"/>
      <c r="C65" s="9"/>
      <c r="D65" s="9"/>
      <c r="E65" s="9"/>
      <c r="F65" s="9"/>
      <c r="G65" s="9"/>
      <c r="H65" s="9"/>
      <c r="I65" s="9"/>
    </row>
    <row r="66" ht="22.5" customHeight="1">
      <c r="A66" s="9"/>
      <c r="B66" s="9"/>
      <c r="C66" s="9"/>
      <c r="D66" s="9"/>
      <c r="E66" s="9"/>
      <c r="F66" s="9"/>
      <c r="G66" s="9"/>
      <c r="H66" s="9"/>
      <c r="I66" s="9"/>
    </row>
    <row r="67" ht="22.5" customHeight="1">
      <c r="A67" s="9"/>
      <c r="B67" s="9"/>
      <c r="C67" s="9"/>
      <c r="D67" s="9"/>
      <c r="E67" s="9"/>
      <c r="F67" s="9"/>
      <c r="G67" s="9"/>
      <c r="H67" s="9"/>
      <c r="I67" s="9"/>
    </row>
  </sheetData>
  <drawing r:id="rId1"/>
  <tableParts count="1">
    <tablePart r:id="rId3"/>
  </tableParts>
</worksheet>
</file>