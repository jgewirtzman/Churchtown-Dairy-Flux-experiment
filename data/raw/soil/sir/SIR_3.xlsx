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" sheetId="1" r:id="rId5"/>
    <sheet state="visible" name="Gas" sheetId="2" r:id="rId6"/>
  </sheets>
  <definedNames/>
  <calcPr/>
</workbook>
</file>

<file path=xl/sharedStrings.xml><?xml version="1.0" encoding="utf-8"?>
<sst xmlns="http://schemas.openxmlformats.org/spreadsheetml/2006/main" count="57" uniqueCount="29">
  <si>
    <t>Sampling_Date</t>
  </si>
  <si>
    <t>Plot</t>
  </si>
  <si>
    <t>Replicate</t>
  </si>
  <si>
    <t>Sample_ID</t>
  </si>
  <si>
    <t>Lab_No</t>
  </si>
  <si>
    <t>Date_Weighed</t>
  </si>
  <si>
    <t>Mass_Soil_g</t>
  </si>
  <si>
    <t>A</t>
  </si>
  <si>
    <t>B</t>
  </si>
  <si>
    <t>sir.id</t>
  </si>
  <si>
    <t>unique.id</t>
  </si>
  <si>
    <t>lab.id</t>
  </si>
  <si>
    <t>standard.co2</t>
  </si>
  <si>
    <t>soil.volume</t>
  </si>
  <si>
    <t>soil.dry.mass</t>
  </si>
  <si>
    <t>date.flush</t>
  </si>
  <si>
    <t>time.flush</t>
  </si>
  <si>
    <t>date.irga</t>
  </si>
  <si>
    <t>time.irga</t>
  </si>
  <si>
    <t>irga.integral</t>
  </si>
  <si>
    <t>times.sampled</t>
  </si>
  <si>
    <t>std.value.1</t>
  </si>
  <si>
    <t>std.value.2</t>
  </si>
  <si>
    <t>std.value.3</t>
  </si>
  <si>
    <t>std.value.4</t>
  </si>
  <si>
    <t>std.start.time</t>
  </si>
  <si>
    <t>std.end.time</t>
  </si>
  <si>
    <t>notes.flushing</t>
  </si>
  <si>
    <t>notes.irga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</si>
</sst>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mm d,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Table1" name="Table1" id="1">
  <tableColumns count="7">
    <tableColumn name="Sampling_Date" id="1"/>
    <tableColumn name="Plot" id="2"/>
    <tableColumn name="Replicate" id="3"/>
    <tableColumn name="Sample_ID" id="4"/>
    <tableColumn name="Lab_No" id="5"/>
    <tableColumn name="Date_Weighed" id="6"/>
    <tableColumn name="Mass_Soil_g" id="7"/>
  </tableColumns>
  <tableStyleInfo name="Mass-style" showColumnStripes="0" showFirstColumn="1" showLastColumn="1" showRowStripes="1"/>
</table>
</file>

<file path=xl/tables/table2.xml><?xml version="1.0" encoding="utf-8"?>
<table xmlns="http://schemas.openxmlformats.org/spreadsheetml/2006/main" ref="A1:T64" displayName="Table3" name="Table3" id="2">
  <tableColumns count="20">
    <tableColumn name="sir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G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ir.id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3" width="13.5"/>
    <col customWidth="1" min="4" max="4" width="14.0"/>
    <col customWidth="1" min="5" max="5" width="13.5"/>
    <col customWidth="1" min="6" max="6" width="19.38"/>
    <col customWidth="1" min="7" max="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2.5" customHeight="1">
      <c r="B2" s="3">
        <v>1.0</v>
      </c>
      <c r="C2" s="4" t="s">
        <v>7</v>
      </c>
      <c r="D2" s="3" t="str">
        <f t="shared" ref="D2:D31" si="1">"SIR_3_P"&amp;B2&amp;"_"&amp;C2</f>
        <v>SIR_3_P1_A</v>
      </c>
      <c r="E2" s="4">
        <v>61.0</v>
      </c>
      <c r="F2" s="5"/>
      <c r="G2" s="6">
        <v>4.168</v>
      </c>
    </row>
    <row r="3" ht="22.5" customHeight="1">
      <c r="B3" s="3">
        <v>1.0</v>
      </c>
      <c r="C3" s="4" t="s">
        <v>8</v>
      </c>
      <c r="D3" s="3" t="str">
        <f t="shared" si="1"/>
        <v>SIR_3_P1_B</v>
      </c>
      <c r="E3" s="4">
        <v>62.0</v>
      </c>
      <c r="F3" s="5"/>
      <c r="G3" s="7">
        <v>4.309</v>
      </c>
    </row>
    <row r="4" ht="22.5" customHeight="1">
      <c r="B4" s="3">
        <v>2.0</v>
      </c>
      <c r="C4" s="4" t="s">
        <v>7</v>
      </c>
      <c r="D4" s="3" t="str">
        <f t="shared" si="1"/>
        <v>SIR_3_P2_A</v>
      </c>
      <c r="E4" s="4">
        <v>63.0</v>
      </c>
      <c r="F4" s="5"/>
      <c r="G4" s="6">
        <v>4.931</v>
      </c>
    </row>
    <row r="5" ht="22.5" customHeight="1">
      <c r="B5" s="3">
        <v>2.0</v>
      </c>
      <c r="C5" s="4" t="s">
        <v>8</v>
      </c>
      <c r="D5" s="3" t="str">
        <f t="shared" si="1"/>
        <v>SIR_3_P2_B</v>
      </c>
      <c r="E5" s="4">
        <v>64.0</v>
      </c>
      <c r="F5" s="5"/>
      <c r="G5" s="7">
        <v>4.828</v>
      </c>
    </row>
    <row r="6" ht="22.5" customHeight="1">
      <c r="B6" s="3">
        <v>3.0</v>
      </c>
      <c r="C6" s="4" t="s">
        <v>7</v>
      </c>
      <c r="D6" s="3" t="str">
        <f t="shared" si="1"/>
        <v>SIR_3_P3_A</v>
      </c>
      <c r="E6" s="4">
        <v>65.0</v>
      </c>
      <c r="F6" s="8"/>
      <c r="G6" s="4">
        <v>4.083</v>
      </c>
    </row>
    <row r="7" ht="22.5" customHeight="1">
      <c r="B7" s="3">
        <v>3.0</v>
      </c>
      <c r="C7" s="4" t="s">
        <v>8</v>
      </c>
      <c r="D7" s="3" t="str">
        <f t="shared" si="1"/>
        <v>SIR_3_P3_B</v>
      </c>
      <c r="E7" s="4">
        <v>66.0</v>
      </c>
      <c r="F7" s="8"/>
      <c r="G7" s="4">
        <v>4.179</v>
      </c>
    </row>
    <row r="8" ht="22.5" customHeight="1">
      <c r="B8" s="3">
        <v>4.0</v>
      </c>
      <c r="C8" s="4" t="s">
        <v>7</v>
      </c>
      <c r="D8" s="3" t="str">
        <f t="shared" si="1"/>
        <v>SIR_3_P4_A</v>
      </c>
      <c r="E8" s="4">
        <v>67.0</v>
      </c>
      <c r="F8" s="8"/>
      <c r="G8" s="4">
        <v>4.455</v>
      </c>
    </row>
    <row r="9" ht="22.5" customHeight="1">
      <c r="B9" s="3">
        <v>4.0</v>
      </c>
      <c r="C9" s="4" t="s">
        <v>8</v>
      </c>
      <c r="D9" s="3" t="str">
        <f t="shared" si="1"/>
        <v>SIR_3_P4_B</v>
      </c>
      <c r="E9" s="4">
        <v>68.0</v>
      </c>
      <c r="F9" s="8"/>
      <c r="G9" s="4">
        <v>4.455</v>
      </c>
    </row>
    <row r="10" ht="22.5" customHeight="1">
      <c r="B10" s="3">
        <v>5.0</v>
      </c>
      <c r="C10" s="4" t="s">
        <v>7</v>
      </c>
      <c r="D10" s="3" t="str">
        <f t="shared" si="1"/>
        <v>SIR_3_P5_A</v>
      </c>
      <c r="E10" s="4">
        <v>69.0</v>
      </c>
      <c r="F10" s="8"/>
      <c r="G10" s="4">
        <v>4.203</v>
      </c>
    </row>
    <row r="11" ht="22.5" customHeight="1">
      <c r="B11" s="3">
        <v>5.0</v>
      </c>
      <c r="C11" s="4" t="s">
        <v>8</v>
      </c>
      <c r="D11" s="3" t="str">
        <f t="shared" si="1"/>
        <v>SIR_3_P5_B</v>
      </c>
      <c r="E11" s="4">
        <v>70.0</v>
      </c>
      <c r="F11" s="8"/>
      <c r="G11" s="4">
        <v>4.034</v>
      </c>
    </row>
    <row r="12" ht="22.5" customHeight="1">
      <c r="B12" s="3">
        <v>6.0</v>
      </c>
      <c r="C12" s="4" t="s">
        <v>7</v>
      </c>
      <c r="D12" s="3" t="str">
        <f t="shared" si="1"/>
        <v>SIR_3_P6_A</v>
      </c>
      <c r="E12" s="4">
        <v>71.0</v>
      </c>
      <c r="F12" s="8"/>
      <c r="G12" s="4">
        <v>4.12</v>
      </c>
    </row>
    <row r="13" ht="22.5" customHeight="1">
      <c r="B13" s="3">
        <v>6.0</v>
      </c>
      <c r="C13" s="4" t="s">
        <v>8</v>
      </c>
      <c r="D13" s="3" t="str">
        <f t="shared" si="1"/>
        <v>SIR_3_P6_B</v>
      </c>
      <c r="E13" s="4">
        <v>72.0</v>
      </c>
      <c r="F13" s="8"/>
      <c r="G13" s="4">
        <v>4.002</v>
      </c>
    </row>
    <row r="14" ht="22.5" customHeight="1">
      <c r="B14" s="3">
        <v>7.0</v>
      </c>
      <c r="C14" s="4" t="s">
        <v>7</v>
      </c>
      <c r="D14" s="3" t="str">
        <f t="shared" si="1"/>
        <v>SIR_3_P7_A</v>
      </c>
      <c r="E14" s="4">
        <v>73.0</v>
      </c>
      <c r="F14" s="8"/>
      <c r="G14" s="4">
        <v>4.361</v>
      </c>
    </row>
    <row r="15" ht="22.5" customHeight="1">
      <c r="B15" s="3">
        <v>7.0</v>
      </c>
      <c r="C15" s="4" t="s">
        <v>8</v>
      </c>
      <c r="D15" s="3" t="str">
        <f t="shared" si="1"/>
        <v>SIR_3_P7_B</v>
      </c>
      <c r="E15" s="4">
        <v>74.0</v>
      </c>
      <c r="F15" s="8"/>
      <c r="G15" s="4">
        <v>4.009</v>
      </c>
    </row>
    <row r="16" ht="22.5" customHeight="1">
      <c r="B16" s="3">
        <v>8.0</v>
      </c>
      <c r="C16" s="4" t="s">
        <v>7</v>
      </c>
      <c r="D16" s="3" t="str">
        <f t="shared" si="1"/>
        <v>SIR_3_P8_A</v>
      </c>
      <c r="E16" s="4">
        <v>75.0</v>
      </c>
      <c r="F16" s="8"/>
      <c r="G16" s="4">
        <v>4.002</v>
      </c>
    </row>
    <row r="17" ht="22.5" customHeight="1">
      <c r="B17" s="3">
        <v>8.0</v>
      </c>
      <c r="C17" s="4" t="s">
        <v>8</v>
      </c>
      <c r="D17" s="3" t="str">
        <f t="shared" si="1"/>
        <v>SIR_3_P8_B</v>
      </c>
      <c r="E17" s="4">
        <v>76.0</v>
      </c>
      <c r="F17" s="8"/>
      <c r="G17" s="4">
        <v>4.152</v>
      </c>
    </row>
    <row r="18" ht="22.5" customHeight="1">
      <c r="B18" s="3">
        <v>9.0</v>
      </c>
      <c r="C18" s="4" t="s">
        <v>7</v>
      </c>
      <c r="D18" s="3" t="str">
        <f t="shared" si="1"/>
        <v>SIR_3_P9_A</v>
      </c>
      <c r="E18" s="4">
        <v>77.0</v>
      </c>
      <c r="F18" s="8"/>
      <c r="G18" s="4">
        <v>40.1</v>
      </c>
    </row>
    <row r="19" ht="22.5" customHeight="1">
      <c r="B19" s="3">
        <v>9.0</v>
      </c>
      <c r="C19" s="4" t="s">
        <v>8</v>
      </c>
      <c r="D19" s="3" t="str">
        <f t="shared" si="1"/>
        <v>SIR_3_P9_B</v>
      </c>
      <c r="E19" s="4">
        <v>78.0</v>
      </c>
      <c r="F19" s="8"/>
      <c r="G19" s="4">
        <v>4.404</v>
      </c>
    </row>
    <row r="20" ht="22.5" customHeight="1">
      <c r="B20" s="3">
        <v>10.0</v>
      </c>
      <c r="C20" s="4" t="s">
        <v>7</v>
      </c>
      <c r="D20" s="3" t="str">
        <f t="shared" si="1"/>
        <v>SIR_3_P10_A</v>
      </c>
      <c r="E20" s="4">
        <v>79.0</v>
      </c>
      <c r="F20" s="8"/>
      <c r="G20" s="4">
        <v>4.15</v>
      </c>
    </row>
    <row r="21" ht="22.5" customHeight="1">
      <c r="B21" s="3">
        <v>10.0</v>
      </c>
      <c r="C21" s="4" t="s">
        <v>8</v>
      </c>
      <c r="D21" s="3" t="str">
        <f t="shared" si="1"/>
        <v>SIR_3_P10_B</v>
      </c>
      <c r="E21" s="4">
        <v>80.0</v>
      </c>
      <c r="F21" s="8"/>
      <c r="G21" s="4">
        <v>4.072</v>
      </c>
    </row>
    <row r="22" ht="22.5" customHeight="1">
      <c r="B22" s="3">
        <v>11.0</v>
      </c>
      <c r="C22" s="4" t="s">
        <v>7</v>
      </c>
      <c r="D22" s="3" t="str">
        <f t="shared" si="1"/>
        <v>SIR_3_P11_A</v>
      </c>
      <c r="E22" s="4">
        <v>81.0</v>
      </c>
      <c r="F22" s="8"/>
      <c r="G22" s="4">
        <v>4.16</v>
      </c>
    </row>
    <row r="23" ht="22.5" customHeight="1">
      <c r="B23" s="3">
        <v>11.0</v>
      </c>
      <c r="C23" s="4" t="s">
        <v>8</v>
      </c>
      <c r="D23" s="3" t="str">
        <f t="shared" si="1"/>
        <v>SIR_3_P11_B</v>
      </c>
      <c r="E23" s="4">
        <v>82.0</v>
      </c>
      <c r="F23" s="8"/>
      <c r="G23" s="4">
        <v>4.099</v>
      </c>
    </row>
    <row r="24" ht="22.5" customHeight="1">
      <c r="B24" s="3">
        <v>12.0</v>
      </c>
      <c r="C24" s="4" t="s">
        <v>7</v>
      </c>
      <c r="D24" s="3" t="str">
        <f t="shared" si="1"/>
        <v>SIR_3_P12_A</v>
      </c>
      <c r="E24" s="4">
        <v>83.0</v>
      </c>
      <c r="F24" s="8"/>
      <c r="G24" s="4">
        <v>4.353</v>
      </c>
    </row>
    <row r="25" ht="22.5" customHeight="1">
      <c r="B25" s="3">
        <v>12.0</v>
      </c>
      <c r="C25" s="4" t="s">
        <v>8</v>
      </c>
      <c r="D25" s="3" t="str">
        <f t="shared" si="1"/>
        <v>SIR_3_P12_B</v>
      </c>
      <c r="E25" s="4">
        <v>84.0</v>
      </c>
      <c r="F25" s="8"/>
      <c r="G25" s="4">
        <v>4.515</v>
      </c>
    </row>
    <row r="26" ht="22.5" customHeight="1">
      <c r="B26" s="3">
        <v>13.0</v>
      </c>
      <c r="C26" s="4" t="s">
        <v>7</v>
      </c>
      <c r="D26" s="3" t="str">
        <f t="shared" si="1"/>
        <v>SIR_3_P13_A</v>
      </c>
      <c r="E26" s="4">
        <v>85.0</v>
      </c>
      <c r="F26" s="8"/>
      <c r="G26" s="4">
        <v>4.144</v>
      </c>
    </row>
    <row r="27" ht="22.5" customHeight="1">
      <c r="B27" s="3">
        <v>13.0</v>
      </c>
      <c r="C27" s="4" t="s">
        <v>8</v>
      </c>
      <c r="D27" s="3" t="str">
        <f t="shared" si="1"/>
        <v>SIR_3_P13_B</v>
      </c>
      <c r="E27" s="4">
        <v>86.0</v>
      </c>
      <c r="F27" s="8"/>
      <c r="G27" s="4">
        <v>4.393</v>
      </c>
    </row>
    <row r="28" ht="22.5" customHeight="1">
      <c r="B28" s="3">
        <v>14.0</v>
      </c>
      <c r="C28" s="4" t="s">
        <v>7</v>
      </c>
      <c r="D28" s="3" t="str">
        <f t="shared" si="1"/>
        <v>SIR_3_P14_A</v>
      </c>
      <c r="E28" s="4">
        <v>87.0</v>
      </c>
      <c r="F28" s="8"/>
      <c r="G28" s="4">
        <v>4.041</v>
      </c>
    </row>
    <row r="29" ht="22.5" customHeight="1">
      <c r="B29" s="3">
        <v>14.0</v>
      </c>
      <c r="C29" s="4" t="s">
        <v>8</v>
      </c>
      <c r="D29" s="3" t="str">
        <f t="shared" si="1"/>
        <v>SIR_3_P14_B</v>
      </c>
      <c r="E29" s="4">
        <v>88.0</v>
      </c>
      <c r="F29" s="8"/>
      <c r="G29" s="4">
        <v>4.548</v>
      </c>
    </row>
    <row r="30" ht="22.5" customHeight="1">
      <c r="B30" s="3">
        <v>15.0</v>
      </c>
      <c r="C30" s="4" t="s">
        <v>7</v>
      </c>
      <c r="D30" s="3" t="str">
        <f t="shared" si="1"/>
        <v>SIR_3_P15_A</v>
      </c>
      <c r="E30" s="4">
        <v>89.0</v>
      </c>
      <c r="F30" s="8"/>
      <c r="G30" s="4">
        <v>4.214</v>
      </c>
    </row>
    <row r="31" ht="22.5" customHeight="1">
      <c r="B31" s="3">
        <v>15.0</v>
      </c>
      <c r="C31" s="4" t="s">
        <v>8</v>
      </c>
      <c r="D31" s="3" t="str">
        <f t="shared" si="1"/>
        <v>SIR_3_P15_B</v>
      </c>
      <c r="E31" s="4">
        <v>90.0</v>
      </c>
      <c r="F31" s="8"/>
      <c r="G31" s="4">
        <v>4.097</v>
      </c>
    </row>
  </sheetData>
  <dataValidations>
    <dataValidation type="custom" allowBlank="1" showDropDown="1" sqref="F2:F31">
      <formula1>OR(NOT(ISERROR(DATEVALUE(F2))), AND(ISNUMBER(F2), LEFT(CELL("format", F2))="D"))</formula1>
    </dataValidation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hidden="1" min="2" max="6" width="12.63"/>
    <col customWidth="1" min="7" max="7" width="16.63"/>
    <col customWidth="1" min="8" max="8" width="12.88"/>
    <col customWidth="1" min="9" max="9" width="16.63"/>
  </cols>
  <sheetData>
    <row r="1" ht="22.5" customHeight="1">
      <c r="A1" s="9" t="s">
        <v>9</v>
      </c>
      <c r="B1" s="10" t="s">
        <v>10</v>
      </c>
      <c r="C1" s="10" t="s">
        <v>11</v>
      </c>
      <c r="D1" s="11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10" t="s">
        <v>26</v>
      </c>
      <c r="S1" s="10" t="s">
        <v>27</v>
      </c>
      <c r="T1" s="10" t="s">
        <v>28</v>
      </c>
    </row>
    <row r="2" ht="22.5" customHeight="1">
      <c r="A2" s="4">
        <v>61.0</v>
      </c>
      <c r="B2" s="12"/>
      <c r="C2" s="12"/>
      <c r="D2" s="12">
        <v>1976.0</v>
      </c>
      <c r="E2" s="12"/>
      <c r="F2" s="12"/>
      <c r="G2" s="13">
        <v>45987.0</v>
      </c>
      <c r="H2" s="14">
        <v>0.6770833333333334</v>
      </c>
      <c r="I2" s="13">
        <v>45987.0</v>
      </c>
      <c r="J2" s="14">
        <v>0.8663910300965654</v>
      </c>
      <c r="K2" s="15">
        <v>335.638</v>
      </c>
      <c r="L2" s="12"/>
      <c r="M2" s="15">
        <v>301.493</v>
      </c>
      <c r="N2" s="15">
        <v>297.708</v>
      </c>
      <c r="O2" s="15">
        <v>298.475</v>
      </c>
      <c r="P2" s="15">
        <v>297.56</v>
      </c>
      <c r="Q2" s="14">
        <v>0.8634685879660537</v>
      </c>
      <c r="R2" s="14">
        <v>0.8663447337967227</v>
      </c>
      <c r="S2" s="12"/>
      <c r="T2" s="12"/>
    </row>
    <row r="3" ht="22.5" customHeight="1">
      <c r="A3" s="4">
        <v>62.0</v>
      </c>
      <c r="B3" s="12"/>
      <c r="C3" s="12"/>
      <c r="D3" s="12">
        <v>1976.0</v>
      </c>
      <c r="E3" s="12"/>
      <c r="F3" s="12"/>
      <c r="G3" s="13">
        <v>45987.0</v>
      </c>
      <c r="H3" s="14">
        <v>0.6770833333333334</v>
      </c>
      <c r="I3" s="13">
        <v>45987.0</v>
      </c>
      <c r="J3" s="14">
        <v>0.8674823495384771</v>
      </c>
      <c r="K3" s="15">
        <v>292.409</v>
      </c>
      <c r="L3" s="12"/>
      <c r="M3" s="12"/>
      <c r="N3" s="12"/>
      <c r="O3" s="12"/>
      <c r="P3" s="12"/>
      <c r="Q3" s="12"/>
      <c r="R3" s="12"/>
      <c r="S3" s="12"/>
      <c r="T3" s="12"/>
    </row>
    <row r="4" ht="22.5" customHeight="1">
      <c r="A4" s="4">
        <v>63.0</v>
      </c>
      <c r="B4" s="12"/>
      <c r="C4" s="12"/>
      <c r="D4" s="12">
        <v>1976.0</v>
      </c>
      <c r="E4" s="12"/>
      <c r="F4" s="12"/>
      <c r="G4" s="13">
        <v>45987.0</v>
      </c>
      <c r="H4" s="14">
        <v>0.6770833333333334</v>
      </c>
      <c r="I4" s="13">
        <v>45987.0</v>
      </c>
      <c r="J4" s="14">
        <v>0.8678466319397558</v>
      </c>
      <c r="K4" s="15">
        <v>329.261</v>
      </c>
      <c r="L4" s="12"/>
      <c r="M4" s="12"/>
      <c r="N4" s="12"/>
      <c r="O4" s="12"/>
      <c r="P4" s="12"/>
      <c r="Q4" s="12"/>
      <c r="R4" s="12"/>
      <c r="S4" s="12"/>
      <c r="T4" s="12"/>
    </row>
    <row r="5" ht="22.5" customHeight="1">
      <c r="A5" s="4">
        <v>64.0</v>
      </c>
      <c r="B5" s="12"/>
      <c r="C5" s="12"/>
      <c r="D5" s="12">
        <v>1976.0</v>
      </c>
      <c r="E5" s="12"/>
      <c r="F5" s="12"/>
      <c r="G5" s="13">
        <v>45987.0</v>
      </c>
      <c r="H5" s="14">
        <v>0.6770833333333334</v>
      </c>
      <c r="I5" s="13">
        <v>45987.0</v>
      </c>
      <c r="J5" s="14">
        <v>0.8682439236145001</v>
      </c>
      <c r="K5" s="15">
        <v>312.754</v>
      </c>
      <c r="L5" s="12"/>
      <c r="M5" s="12"/>
      <c r="N5" s="12"/>
      <c r="O5" s="12"/>
      <c r="P5" s="12"/>
      <c r="Q5" s="12"/>
      <c r="R5" s="12"/>
      <c r="S5" s="12"/>
      <c r="T5" s="12"/>
    </row>
    <row r="6" ht="22.5" customHeight="1">
      <c r="A6" s="4">
        <v>65.0</v>
      </c>
      <c r="B6" s="12"/>
      <c r="C6" s="12"/>
      <c r="D6" s="12">
        <v>1976.0</v>
      </c>
      <c r="E6" s="12"/>
      <c r="F6" s="12"/>
      <c r="G6" s="13">
        <v>45987.0</v>
      </c>
      <c r="H6" s="14">
        <v>0.6770833333333334</v>
      </c>
      <c r="I6" s="13">
        <v>45987.0</v>
      </c>
      <c r="J6" s="14">
        <v>0.8686454976850655</v>
      </c>
      <c r="K6" s="15">
        <v>295.801</v>
      </c>
      <c r="L6" s="12"/>
      <c r="M6" s="12"/>
      <c r="N6" s="12"/>
      <c r="O6" s="12"/>
      <c r="P6" s="12"/>
      <c r="Q6" s="12"/>
      <c r="R6" s="12"/>
      <c r="S6" s="12"/>
      <c r="T6" s="12"/>
    </row>
    <row r="7" ht="22.5" customHeight="1">
      <c r="A7" s="4">
        <v>66.0</v>
      </c>
      <c r="B7" s="12"/>
      <c r="C7" s="12"/>
      <c r="D7" s="12">
        <v>1976.0</v>
      </c>
      <c r="E7" s="12"/>
      <c r="F7" s="12"/>
      <c r="G7" s="13">
        <v>45987.0</v>
      </c>
      <c r="H7" s="14">
        <v>0.6770833333333334</v>
      </c>
      <c r="I7" s="13">
        <v>45987.0</v>
      </c>
      <c r="J7" s="14">
        <v>0.8691125462937634</v>
      </c>
      <c r="K7" s="15">
        <v>301.598</v>
      </c>
      <c r="L7" s="12"/>
      <c r="M7" s="12"/>
      <c r="N7" s="12"/>
      <c r="O7" s="12"/>
      <c r="P7" s="12"/>
      <c r="Q7" s="12"/>
      <c r="R7" s="12"/>
      <c r="S7" s="12"/>
      <c r="T7" s="12"/>
    </row>
    <row r="8" ht="22.5" customHeight="1">
      <c r="A8" s="4">
        <v>67.0</v>
      </c>
      <c r="B8" s="12"/>
      <c r="C8" s="12"/>
      <c r="D8" s="12">
        <v>1976.0</v>
      </c>
      <c r="E8" s="12"/>
      <c r="F8" s="12"/>
      <c r="G8" s="13">
        <v>45987.0</v>
      </c>
      <c r="H8" s="14">
        <v>0.6770833333333334</v>
      </c>
      <c r="I8" s="13">
        <v>45987.0</v>
      </c>
      <c r="J8" s="14">
        <v>0.8699798032394028</v>
      </c>
      <c r="K8" s="15">
        <v>242.877</v>
      </c>
      <c r="L8" s="12"/>
      <c r="M8" s="12"/>
      <c r="N8" s="12"/>
      <c r="O8" s="12"/>
      <c r="P8" s="12"/>
      <c r="Q8" s="12"/>
      <c r="R8" s="12"/>
      <c r="S8" s="12"/>
      <c r="T8" s="12"/>
    </row>
    <row r="9" ht="22.5" customHeight="1">
      <c r="A9" s="4">
        <v>68.0</v>
      </c>
      <c r="B9" s="12"/>
      <c r="C9" s="12"/>
      <c r="D9" s="12">
        <v>1976.0</v>
      </c>
      <c r="E9" s="12"/>
      <c r="F9" s="12"/>
      <c r="G9" s="13">
        <v>45987.0</v>
      </c>
      <c r="H9" s="14">
        <v>0.6770833333333334</v>
      </c>
      <c r="I9" s="13">
        <v>45987.0</v>
      </c>
      <c r="J9" s="14">
        <v>0.8700246875014273</v>
      </c>
      <c r="K9" s="15">
        <v>363.047</v>
      </c>
      <c r="L9" s="12"/>
      <c r="M9" s="12"/>
      <c r="N9" s="12"/>
      <c r="O9" s="12"/>
      <c r="P9" s="12"/>
      <c r="Q9" s="12"/>
      <c r="R9" s="12"/>
      <c r="S9" s="12"/>
      <c r="T9" s="12"/>
    </row>
    <row r="10" ht="22.5" customHeight="1">
      <c r="A10" s="4">
        <v>69.0</v>
      </c>
      <c r="B10" s="12"/>
      <c r="C10" s="12"/>
      <c r="D10" s="12">
        <v>1976.0</v>
      </c>
      <c r="E10" s="12"/>
      <c r="F10" s="12"/>
      <c r="G10" s="13">
        <v>45987.0</v>
      </c>
      <c r="H10" s="14">
        <v>0.6770833333333334</v>
      </c>
      <c r="I10" s="13">
        <v>45987.0</v>
      </c>
      <c r="J10" s="14">
        <v>0.8704043634206755</v>
      </c>
      <c r="K10" s="15">
        <v>366.606</v>
      </c>
      <c r="L10" s="12"/>
      <c r="M10" s="12"/>
      <c r="N10" s="12"/>
      <c r="O10" s="12"/>
      <c r="P10" s="12"/>
      <c r="Q10" s="12"/>
      <c r="R10" s="12"/>
      <c r="S10" s="12"/>
      <c r="T10" s="12"/>
    </row>
    <row r="11" ht="22.5" customHeight="1">
      <c r="A11" s="4">
        <v>70.0</v>
      </c>
      <c r="B11" s="12"/>
      <c r="C11" s="12"/>
      <c r="D11" s="12">
        <v>1976.0</v>
      </c>
      <c r="E11" s="12"/>
      <c r="F11" s="12"/>
      <c r="G11" s="13">
        <v>45987.0</v>
      </c>
      <c r="H11" s="14">
        <v>0.6770833333333334</v>
      </c>
      <c r="I11" s="13">
        <v>45987.0</v>
      </c>
      <c r="J11" s="14">
        <v>0.8707601736095967</v>
      </c>
      <c r="K11" s="15">
        <v>324.859</v>
      </c>
      <c r="L11" s="12"/>
      <c r="M11" s="12"/>
      <c r="N11" s="12"/>
      <c r="O11" s="12"/>
      <c r="P11" s="12"/>
      <c r="Q11" s="12"/>
      <c r="R11" s="12"/>
      <c r="S11" s="12"/>
      <c r="T11" s="12"/>
    </row>
    <row r="12" ht="22.5" customHeight="1">
      <c r="A12" s="4">
        <v>71.0</v>
      </c>
      <c r="B12" s="12"/>
      <c r="C12" s="12"/>
      <c r="D12" s="12">
        <v>1976.0</v>
      </c>
      <c r="E12" s="12"/>
      <c r="F12" s="12"/>
      <c r="G12" s="13">
        <v>45987.0</v>
      </c>
      <c r="H12" s="14">
        <v>0.6770833333333334</v>
      </c>
      <c r="I12" s="13">
        <v>45987.0</v>
      </c>
      <c r="J12" s="14">
        <v>0.8711183101841016</v>
      </c>
      <c r="K12" s="15">
        <v>266.39</v>
      </c>
      <c r="L12" s="12"/>
      <c r="M12" s="12"/>
      <c r="N12" s="12"/>
      <c r="O12" s="12"/>
      <c r="P12" s="12"/>
      <c r="Q12" s="12"/>
      <c r="R12" s="12"/>
      <c r="S12" s="12"/>
      <c r="T12" s="12"/>
    </row>
    <row r="13" ht="22.5" customHeight="1">
      <c r="A13" s="4">
        <v>72.0</v>
      </c>
      <c r="B13" s="12"/>
      <c r="C13" s="12"/>
      <c r="D13" s="12">
        <v>1976.0</v>
      </c>
      <c r="E13" s="12"/>
      <c r="F13" s="12"/>
      <c r="G13" s="13">
        <v>45987.0</v>
      </c>
      <c r="H13" s="14">
        <v>0.6770833333333334</v>
      </c>
      <c r="I13" s="13">
        <v>45987.0</v>
      </c>
      <c r="J13" s="14">
        <v>0.871528530093201</v>
      </c>
      <c r="K13" s="15">
        <v>272.156</v>
      </c>
      <c r="L13" s="12"/>
      <c r="M13" s="12"/>
      <c r="N13" s="12"/>
      <c r="O13" s="12"/>
      <c r="P13" s="12"/>
      <c r="Q13" s="12"/>
      <c r="R13" s="12"/>
      <c r="S13" s="12"/>
      <c r="T13" s="12"/>
    </row>
    <row r="14" ht="22.5" customHeight="1">
      <c r="A14" s="4">
        <v>73.0</v>
      </c>
      <c r="B14" s="12"/>
      <c r="C14" s="12"/>
      <c r="D14" s="12">
        <v>1976.0</v>
      </c>
      <c r="E14" s="12"/>
      <c r="F14" s="12"/>
      <c r="G14" s="13">
        <v>45987.0</v>
      </c>
      <c r="H14" s="14">
        <v>0.6770833333333334</v>
      </c>
      <c r="I14" s="13">
        <v>45987.0</v>
      </c>
      <c r="J14" s="14">
        <v>0.8719076736160787</v>
      </c>
      <c r="K14" s="15">
        <v>218.642</v>
      </c>
      <c r="L14" s="12"/>
      <c r="M14" s="12"/>
      <c r="N14" s="12"/>
      <c r="O14" s="12"/>
      <c r="P14" s="12"/>
      <c r="Q14" s="12"/>
      <c r="R14" s="12"/>
      <c r="S14" s="12"/>
      <c r="T14" s="12"/>
    </row>
    <row r="15" ht="22.5" customHeight="1">
      <c r="A15" s="4">
        <v>74.0</v>
      </c>
      <c r="B15" s="12"/>
      <c r="C15" s="12"/>
      <c r="D15" s="12">
        <v>1976.0</v>
      </c>
      <c r="E15" s="12"/>
      <c r="F15" s="12"/>
      <c r="G15" s="13">
        <v>45987.0</v>
      </c>
      <c r="H15" s="14">
        <v>0.6770833333333334</v>
      </c>
      <c r="I15" s="13">
        <v>45987.0</v>
      </c>
      <c r="J15" s="14">
        <v>0.8722274884275976</v>
      </c>
      <c r="K15" s="15">
        <v>233.577</v>
      </c>
      <c r="L15" s="12"/>
      <c r="M15" s="12"/>
      <c r="N15" s="12"/>
      <c r="O15" s="12"/>
      <c r="P15" s="12"/>
      <c r="Q15" s="12"/>
      <c r="R15" s="12"/>
      <c r="S15" s="12"/>
      <c r="T15" s="12"/>
    </row>
    <row r="16" ht="22.5" customHeight="1">
      <c r="A16" s="4">
        <v>75.0</v>
      </c>
      <c r="B16" s="12"/>
      <c r="C16" s="12"/>
      <c r="D16" s="12">
        <v>1976.0</v>
      </c>
      <c r="E16" s="12"/>
      <c r="F16" s="12"/>
      <c r="G16" s="13">
        <v>45987.0</v>
      </c>
      <c r="H16" s="14">
        <v>0.6770833333333334</v>
      </c>
      <c r="I16" s="13">
        <v>45987.0</v>
      </c>
      <c r="J16" s="14">
        <v>0.8728054050880019</v>
      </c>
      <c r="K16" s="15">
        <v>261.952</v>
      </c>
      <c r="L16" s="12"/>
      <c r="M16" s="12"/>
      <c r="N16" s="12"/>
      <c r="O16" s="12"/>
      <c r="P16" s="12"/>
      <c r="Q16" s="12"/>
      <c r="R16" s="12"/>
      <c r="S16" s="12"/>
      <c r="T16" s="12"/>
    </row>
    <row r="17" ht="22.5" customHeight="1">
      <c r="A17" s="4">
        <v>76.0</v>
      </c>
      <c r="B17" s="12"/>
      <c r="C17" s="12"/>
      <c r="D17" s="12">
        <v>1976.0</v>
      </c>
      <c r="E17" s="12"/>
      <c r="F17" s="12"/>
      <c r="G17" s="13">
        <v>45987.0</v>
      </c>
      <c r="H17" s="14">
        <v>0.6770833333333334</v>
      </c>
      <c r="I17" s="13">
        <v>45987.0</v>
      </c>
      <c r="J17" s="14">
        <v>0.8732814699033042</v>
      </c>
      <c r="K17" s="15">
        <v>291.005</v>
      </c>
      <c r="L17" s="12"/>
      <c r="M17" s="12"/>
      <c r="N17" s="12"/>
      <c r="O17" s="12"/>
      <c r="P17" s="12"/>
      <c r="Q17" s="12"/>
      <c r="R17" s="12"/>
      <c r="S17" s="12"/>
      <c r="T17" s="12"/>
    </row>
    <row r="18" ht="22.5" customHeight="1">
      <c r="A18" s="4">
        <v>77.0</v>
      </c>
      <c r="B18" s="12"/>
      <c r="C18" s="12"/>
      <c r="D18" s="12">
        <v>1976.0</v>
      </c>
      <c r="E18" s="12"/>
      <c r="F18" s="12"/>
      <c r="G18" s="13">
        <v>45987.0</v>
      </c>
      <c r="H18" s="14">
        <v>0.6770833333333334</v>
      </c>
      <c r="I18" s="13">
        <v>45987.0</v>
      </c>
      <c r="J18" s="14">
        <v>0.875493287036079</v>
      </c>
      <c r="K18" s="15">
        <v>301.487</v>
      </c>
      <c r="L18" s="12"/>
      <c r="M18" s="15">
        <v>294.675</v>
      </c>
      <c r="N18" s="15">
        <v>294.46</v>
      </c>
      <c r="O18" s="15">
        <v>294.249</v>
      </c>
      <c r="P18" s="15">
        <v>294.7</v>
      </c>
      <c r="Q18" s="14">
        <v>0.8744085763901239</v>
      </c>
      <c r="R18" s="14">
        <v>0.8754654282383854</v>
      </c>
      <c r="S18" s="12"/>
      <c r="T18" s="12"/>
    </row>
    <row r="19" ht="22.5" customHeight="1">
      <c r="A19" s="4">
        <v>78.0</v>
      </c>
      <c r="B19" s="12"/>
      <c r="C19" s="12"/>
      <c r="D19" s="12">
        <v>1976.0</v>
      </c>
      <c r="E19" s="12"/>
      <c r="F19" s="12"/>
      <c r="G19" s="13">
        <v>45987.0</v>
      </c>
      <c r="H19" s="14">
        <v>0.6770833333333334</v>
      </c>
      <c r="I19" s="13">
        <v>45987.0</v>
      </c>
      <c r="J19" s="14">
        <v>0.876007222221233</v>
      </c>
      <c r="K19" s="15">
        <v>293.1</v>
      </c>
      <c r="L19" s="12"/>
      <c r="M19" s="12"/>
      <c r="N19" s="12"/>
      <c r="O19" s="12"/>
      <c r="P19" s="12"/>
      <c r="Q19" s="12"/>
      <c r="R19" s="12"/>
      <c r="S19" s="12"/>
      <c r="T19" s="12"/>
    </row>
    <row r="20" ht="22.5" customHeight="1">
      <c r="A20" s="4">
        <v>79.0</v>
      </c>
      <c r="B20" s="12"/>
      <c r="C20" s="12"/>
      <c r="D20" s="12">
        <v>1976.0</v>
      </c>
      <c r="E20" s="12"/>
      <c r="F20" s="12"/>
      <c r="G20" s="13">
        <v>45987.0</v>
      </c>
      <c r="H20" s="14">
        <v>0.6770833333333334</v>
      </c>
      <c r="I20" s="13">
        <v>45987.0</v>
      </c>
      <c r="J20" s="14">
        <v>0.8763332754606381</v>
      </c>
      <c r="K20" s="15">
        <v>360.709</v>
      </c>
      <c r="L20" s="12"/>
      <c r="M20" s="12"/>
      <c r="N20" s="12"/>
      <c r="O20" s="12"/>
      <c r="P20" s="12"/>
      <c r="Q20" s="12"/>
      <c r="R20" s="12"/>
      <c r="S20" s="12"/>
      <c r="T20" s="12"/>
    </row>
    <row r="21" ht="22.5" customHeight="1">
      <c r="A21" s="4">
        <v>80.0</v>
      </c>
      <c r="B21" s="12"/>
      <c r="C21" s="12"/>
      <c r="D21" s="12">
        <v>1976.0</v>
      </c>
      <c r="E21" s="12"/>
      <c r="F21" s="12"/>
      <c r="G21" s="13">
        <v>45987.0</v>
      </c>
      <c r="H21" s="14">
        <v>0.6770833333333334</v>
      </c>
      <c r="I21" s="13">
        <v>45987.0</v>
      </c>
      <c r="J21" s="14">
        <v>0.8766699768530088</v>
      </c>
      <c r="K21" s="15">
        <v>309.835</v>
      </c>
      <c r="L21" s="12"/>
      <c r="M21" s="12"/>
      <c r="N21" s="12"/>
      <c r="O21" s="12"/>
      <c r="P21" s="12"/>
      <c r="Q21" s="12"/>
      <c r="R21" s="12"/>
      <c r="S21" s="12"/>
      <c r="T21" s="12"/>
    </row>
    <row r="22" ht="22.5" customHeight="1">
      <c r="A22" s="4">
        <v>81.0</v>
      </c>
      <c r="B22" s="12"/>
      <c r="C22" s="12"/>
      <c r="D22" s="12">
        <v>1976.0</v>
      </c>
      <c r="E22" s="12"/>
      <c r="F22" s="12"/>
      <c r="G22" s="13">
        <v>45987.0</v>
      </c>
      <c r="H22" s="14">
        <v>0.6770833333333334</v>
      </c>
      <c r="I22" s="13">
        <v>45987.0</v>
      </c>
      <c r="J22" s="14">
        <v>0.8769879861065419</v>
      </c>
      <c r="K22" s="15">
        <v>310.238</v>
      </c>
      <c r="L22" s="12"/>
      <c r="M22" s="12"/>
      <c r="N22" s="12"/>
      <c r="O22" s="12"/>
      <c r="P22" s="12"/>
      <c r="Q22" s="12"/>
      <c r="R22" s="12"/>
      <c r="S22" s="12"/>
      <c r="T22" s="12"/>
    </row>
    <row r="23" ht="22.5" customHeight="1">
      <c r="A23" s="4">
        <v>82.0</v>
      </c>
      <c r="B23" s="12"/>
      <c r="C23" s="12"/>
      <c r="D23" s="12">
        <v>1976.0</v>
      </c>
      <c r="E23" s="12"/>
      <c r="F23" s="12"/>
      <c r="G23" s="13">
        <v>45987.0</v>
      </c>
      <c r="H23" s="14">
        <v>0.6770833333333334</v>
      </c>
      <c r="I23" s="13">
        <v>45987.0</v>
      </c>
      <c r="J23" s="14">
        <v>0.8773655555560254</v>
      </c>
      <c r="K23" s="15">
        <v>401.33</v>
      </c>
      <c r="L23" s="12"/>
      <c r="M23" s="12"/>
      <c r="N23" s="12"/>
      <c r="O23" s="12"/>
      <c r="P23" s="12"/>
      <c r="Q23" s="12"/>
      <c r="R23" s="12"/>
      <c r="S23" s="12"/>
      <c r="T23" s="12"/>
    </row>
    <row r="24" ht="22.5" customHeight="1">
      <c r="A24" s="4">
        <v>83.0</v>
      </c>
      <c r="B24" s="12"/>
      <c r="C24" s="12"/>
      <c r="D24" s="12">
        <v>1976.0</v>
      </c>
      <c r="E24" s="12"/>
      <c r="F24" s="12"/>
      <c r="G24" s="13">
        <v>45987.0</v>
      </c>
      <c r="H24" s="14">
        <v>0.6770833333333334</v>
      </c>
      <c r="I24" s="13">
        <v>45987.0</v>
      </c>
      <c r="J24" s="14">
        <v>0.8778023032355122</v>
      </c>
      <c r="K24" s="15">
        <v>369.927</v>
      </c>
      <c r="L24" s="12"/>
      <c r="M24" s="12"/>
      <c r="N24" s="12"/>
      <c r="O24" s="12"/>
      <c r="P24" s="12"/>
      <c r="Q24" s="12"/>
      <c r="R24" s="12"/>
      <c r="S24" s="12"/>
      <c r="T24" s="12"/>
    </row>
    <row r="25" ht="22.5" customHeight="1">
      <c r="A25" s="4">
        <v>84.0</v>
      </c>
      <c r="B25" s="12"/>
      <c r="C25" s="12"/>
      <c r="D25" s="12">
        <v>1976.0</v>
      </c>
      <c r="E25" s="12"/>
      <c r="F25" s="12"/>
      <c r="G25" s="13">
        <v>45987.0</v>
      </c>
      <c r="H25" s="14">
        <v>0.6770833333333334</v>
      </c>
      <c r="I25" s="13">
        <v>45987.0</v>
      </c>
      <c r="J25" s="14">
        <v>0.8784045601860271</v>
      </c>
      <c r="K25" s="15">
        <v>349.485</v>
      </c>
      <c r="L25" s="12"/>
      <c r="M25" s="12"/>
      <c r="N25" s="12"/>
      <c r="O25" s="12"/>
      <c r="P25" s="12"/>
      <c r="Q25" s="12"/>
      <c r="R25" s="12"/>
      <c r="S25" s="12"/>
      <c r="T25" s="12"/>
    </row>
    <row r="26" ht="22.5" customHeight="1">
      <c r="A26" s="4">
        <v>85.0</v>
      </c>
      <c r="B26" s="12"/>
      <c r="C26" s="12"/>
      <c r="D26" s="12">
        <v>1976.0</v>
      </c>
      <c r="E26" s="12"/>
      <c r="F26" s="12"/>
      <c r="G26" s="13">
        <v>45987.0</v>
      </c>
      <c r="H26" s="14">
        <v>0.6770833333333334</v>
      </c>
      <c r="I26" s="13">
        <v>45987.0</v>
      </c>
      <c r="J26" s="14">
        <v>0.8791793287091423</v>
      </c>
      <c r="K26" s="15">
        <v>298.584</v>
      </c>
      <c r="L26" s="12"/>
      <c r="M26" s="12"/>
      <c r="N26" s="12"/>
      <c r="O26" s="12"/>
      <c r="P26" s="12"/>
      <c r="Q26" s="12"/>
      <c r="R26" s="12"/>
      <c r="S26" s="12"/>
      <c r="T26" s="12"/>
    </row>
    <row r="27" ht="22.5" customHeight="1">
      <c r="A27" s="4">
        <v>86.0</v>
      </c>
      <c r="B27" s="12"/>
      <c r="C27" s="12"/>
      <c r="D27" s="12">
        <v>1976.0</v>
      </c>
      <c r="E27" s="12"/>
      <c r="F27" s="12"/>
      <c r="G27" s="13">
        <v>45987.0</v>
      </c>
      <c r="H27" s="14">
        <v>0.6770833333333334</v>
      </c>
      <c r="I27" s="13">
        <v>45987.0</v>
      </c>
      <c r="J27" s="14">
        <v>0.8794456944451667</v>
      </c>
      <c r="K27" s="15">
        <v>334.976</v>
      </c>
      <c r="L27" s="12"/>
      <c r="M27" s="12"/>
      <c r="N27" s="12"/>
      <c r="O27" s="12"/>
      <c r="P27" s="12"/>
      <c r="Q27" s="12"/>
      <c r="R27" s="12"/>
      <c r="S27" s="12"/>
      <c r="T27" s="12"/>
    </row>
    <row r="28" ht="22.5" customHeight="1">
      <c r="A28" s="4">
        <v>87.0</v>
      </c>
      <c r="B28" s="12"/>
      <c r="C28" s="12"/>
      <c r="D28" s="12">
        <v>1976.0</v>
      </c>
      <c r="E28" s="12"/>
      <c r="F28" s="12"/>
      <c r="G28" s="13">
        <v>45987.0</v>
      </c>
      <c r="H28" s="14">
        <v>0.6770833333333334</v>
      </c>
      <c r="I28" s="13">
        <v>45987.0</v>
      </c>
      <c r="J28" s="14">
        <v>0.8797687731494079</v>
      </c>
      <c r="K28" s="15">
        <v>343.037</v>
      </c>
      <c r="L28" s="12"/>
      <c r="M28" s="12"/>
      <c r="N28" s="12"/>
      <c r="O28" s="12"/>
      <c r="P28" s="12"/>
      <c r="Q28" s="12"/>
      <c r="R28" s="12"/>
      <c r="S28" s="12"/>
      <c r="T28" s="12"/>
    </row>
    <row r="29" ht="22.5" customHeight="1">
      <c r="A29" s="4">
        <v>88.0</v>
      </c>
      <c r="B29" s="12"/>
      <c r="C29" s="12"/>
      <c r="D29" s="12">
        <v>1976.0</v>
      </c>
      <c r="E29" s="12"/>
      <c r="F29" s="12"/>
      <c r="G29" s="13">
        <v>45987.0</v>
      </c>
      <c r="H29" s="14">
        <v>0.6770833333333334</v>
      </c>
      <c r="I29" s="13">
        <v>45987.0</v>
      </c>
      <c r="J29" s="14">
        <v>0.8801368171261856</v>
      </c>
      <c r="K29" s="15">
        <v>396.597</v>
      </c>
      <c r="L29" s="12"/>
      <c r="M29" s="12"/>
      <c r="N29" s="12"/>
      <c r="O29" s="12"/>
      <c r="P29" s="12"/>
      <c r="Q29" s="12"/>
      <c r="R29" s="12"/>
      <c r="S29" s="12"/>
      <c r="T29" s="12"/>
    </row>
    <row r="30" ht="22.5" customHeight="1">
      <c r="A30" s="4">
        <v>89.0</v>
      </c>
      <c r="B30" s="12"/>
      <c r="C30" s="12"/>
      <c r="D30" s="12">
        <v>1976.0</v>
      </c>
      <c r="E30" s="12"/>
      <c r="F30" s="12"/>
      <c r="G30" s="13">
        <v>45987.0</v>
      </c>
      <c r="H30" s="14">
        <v>0.6770833333333334</v>
      </c>
      <c r="I30" s="13">
        <v>45987.0</v>
      </c>
      <c r="J30" s="14">
        <v>0.8804423032415798</v>
      </c>
      <c r="K30" s="15">
        <v>320.799</v>
      </c>
      <c r="L30" s="12"/>
      <c r="M30" s="12"/>
      <c r="N30" s="12"/>
      <c r="O30" s="12"/>
      <c r="P30" s="12"/>
      <c r="Q30" s="12"/>
      <c r="R30" s="12"/>
      <c r="S30" s="12"/>
      <c r="T30" s="12"/>
    </row>
    <row r="31" ht="22.5" customHeight="1">
      <c r="A31" s="4">
        <v>90.0</v>
      </c>
      <c r="B31" s="12"/>
      <c r="C31" s="12"/>
      <c r="D31" s="12">
        <v>1976.0</v>
      </c>
      <c r="E31" s="12"/>
      <c r="F31" s="12"/>
      <c r="G31" s="13">
        <v>45987.0</v>
      </c>
      <c r="H31" s="14">
        <v>0.6770833333333334</v>
      </c>
      <c r="I31" s="13">
        <v>45987.0</v>
      </c>
      <c r="J31" s="14">
        <v>0.8812365046323976</v>
      </c>
      <c r="K31" s="15">
        <v>270.542</v>
      </c>
      <c r="L31" s="12"/>
      <c r="M31" s="15">
        <v>294.834</v>
      </c>
      <c r="N31" s="15">
        <v>298.617</v>
      </c>
      <c r="O31" s="15">
        <v>298.878</v>
      </c>
      <c r="P31" s="15">
        <v>298.862</v>
      </c>
      <c r="Q31" s="14">
        <v>0.8829246412060456</v>
      </c>
      <c r="R31" s="12"/>
      <c r="S31" s="12"/>
      <c r="T31" s="12"/>
    </row>
    <row r="32" ht="22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ht="22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ht="22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ht="22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ht="22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ht="22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ht="22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ht="22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ht="22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ht="22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ht="22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ht="22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ht="22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ht="22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ht="22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ht="22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ht="22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ht="22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ht="22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ht="22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ht="22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ht="22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ht="22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ht="22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ht="22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ht="22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ht="22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ht="22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ht="22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ht="22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ht="22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</sheetData>
  <hyperlinks>
    <hyperlink r:id="rId1" ref="A1"/>
  </hyperlinks>
  <drawing r:id="rId2"/>
  <tableParts count="1">
    <tablePart r:id="rId4"/>
  </tableParts>
</worksheet>
</file>