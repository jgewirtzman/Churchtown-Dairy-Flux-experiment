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<sst xmlns="http://schemas.openxmlformats.org/spreadsheetml/2006/main" count="192" uniqueCount="17">
  <si>
    <t>Sampling_Date</t>
  </si>
  <si>
    <t>Plot</t>
  </si>
  <si>
    <t>Timepoint</t>
  </si>
  <si>
    <t>Replicate</t>
  </si>
  <si>
    <t>Sample_ID</t>
  </si>
  <si>
    <t>Lab_No</t>
  </si>
  <si>
    <t>Date_Weighed</t>
  </si>
  <si>
    <t>Mass_Tube_g</t>
  </si>
  <si>
    <t>Mass_Soil_g</t>
  </si>
  <si>
    <t>GWC</t>
  </si>
  <si>
    <t>Target_Mass_Water_To_Add_g</t>
  </si>
  <si>
    <t>Mass_Water_Added_g</t>
  </si>
  <si>
    <t>29-05-2025</t>
  </si>
  <si>
    <t>t0</t>
  </si>
  <si>
    <t>A</t>
  </si>
  <si>
    <t>B</t>
  </si>
  <si>
    <t>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</si>
</sst>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1" displayName="Table1" name="Table1" id="1">
  <tableColumns count="12">
    <tableColumn name="Sampling_Date" id="1"/>
    <tableColumn name="Plot" id="2"/>
    <tableColumn name="Timepoint" id="3"/>
    <tableColumn name="Replicate" id="4"/>
    <tableColumn name="Sample_ID" id="5"/>
    <tableColumn name="Lab_No" id="6"/>
    <tableColumn name="Date_Weighed" id="7"/>
    <tableColumn name="Mass_Tube_g" id="8"/>
    <tableColumn name="Mass_Soil_g" id="9"/>
    <tableColumn name="GWC" id="10"/>
    <tableColumn name="Target_Mass_Water_To_Add_g" id="11"/>
    <tableColumn name="Mass_Water_Added_g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1.75"/>
    <col customWidth="1" min="3" max="3" width="13.0"/>
    <col customWidth="1" min="4" max="4" width="12.38"/>
    <col customWidth="1" min="5" max="5" width="15.63"/>
    <col customWidth="1" min="6" max="6" width="11.13"/>
    <col customWidth="1" min="7" max="7" width="19.38"/>
    <col customWidth="1" min="8" max="8" width="15.63"/>
    <col customWidth="1" min="9" max="9" width="14.75"/>
    <col customWidth="1" min="10" max="10" width="12.5"/>
    <col customWidth="1" min="11" max="11" width="31.38"/>
    <col customWidth="1" min="12" max="12" width="2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</row>
    <row r="2" ht="22.5" customHeight="1">
      <c r="A2" s="4" t="s">
        <v>12</v>
      </c>
      <c r="B2" s="5">
        <v>1.0</v>
      </c>
      <c r="C2" s="6" t="s">
        <v>13</v>
      </c>
      <c r="D2" s="4" t="s">
        <v>14</v>
      </c>
      <c r="E2" s="5" t="str">
        <f t="shared" ref="E2:E61" si="1">"NMin_1_P"&amp;B2&amp;"_"&amp;C2&amp;"_"&amp;D2</f>
        <v>NMin_1_P1_t0_A</v>
      </c>
      <c r="F2" s="4">
        <v>1.0</v>
      </c>
      <c r="G2" s="7">
        <v>45663.0</v>
      </c>
      <c r="H2" s="8">
        <v>10.5</v>
      </c>
      <c r="I2" s="9">
        <v>6.536</v>
      </c>
      <c r="J2" s="6">
        <v>22.900000000000002</v>
      </c>
      <c r="K2" s="10">
        <f t="shared" ref="K2:K61" si="2">IF(J2="","",((I2/(1+J2/100))*(1+25.7/100))-I2)</f>
        <v>0.1489080553</v>
      </c>
      <c r="L2" s="11"/>
    </row>
    <row r="3" ht="22.5" customHeight="1">
      <c r="A3" s="4" t="s">
        <v>12</v>
      </c>
      <c r="B3" s="5">
        <v>1.0</v>
      </c>
      <c r="C3" s="6" t="s">
        <v>13</v>
      </c>
      <c r="D3" s="4" t="s">
        <v>15</v>
      </c>
      <c r="E3" s="5" t="str">
        <f t="shared" si="1"/>
        <v>NMin_1_P1_t0_B</v>
      </c>
      <c r="F3" s="4">
        <v>2.0</v>
      </c>
      <c r="G3" s="7">
        <v>45663.0</v>
      </c>
      <c r="H3" s="8">
        <v>10.5</v>
      </c>
      <c r="I3" s="9">
        <v>6.847</v>
      </c>
      <c r="J3" s="6">
        <v>22.97</v>
      </c>
      <c r="K3" s="10">
        <f t="shared" si="2"/>
        <v>0.1520070749</v>
      </c>
      <c r="L3" s="11"/>
    </row>
    <row r="4" ht="22.5" customHeight="1">
      <c r="A4" s="4" t="s">
        <v>12</v>
      </c>
      <c r="B4" s="6">
        <v>1.0</v>
      </c>
      <c r="C4" s="6" t="s">
        <v>16</v>
      </c>
      <c r="D4" s="4" t="s">
        <v>14</v>
      </c>
      <c r="E4" s="5" t="str">
        <f t="shared" si="1"/>
        <v>NMin_1_P1_t1_A</v>
      </c>
      <c r="F4" s="4">
        <v>3.0</v>
      </c>
      <c r="G4" s="7">
        <v>45663.0</v>
      </c>
      <c r="H4" s="8">
        <v>10.5</v>
      </c>
      <c r="I4" s="9">
        <v>5.8689</v>
      </c>
      <c r="J4" s="6">
        <v>22.97</v>
      </c>
      <c r="K4" s="10">
        <f t="shared" si="2"/>
        <v>0.1302927299</v>
      </c>
      <c r="L4" s="11"/>
    </row>
    <row r="5" ht="22.5" customHeight="1">
      <c r="A5" s="4" t="s">
        <v>12</v>
      </c>
      <c r="B5" s="6">
        <v>1.0</v>
      </c>
      <c r="C5" s="6" t="s">
        <v>16</v>
      </c>
      <c r="D5" s="4" t="s">
        <v>15</v>
      </c>
      <c r="E5" s="5" t="str">
        <f t="shared" si="1"/>
        <v>NMin_1_P1_t1_B</v>
      </c>
      <c r="F5" s="4">
        <v>4.0</v>
      </c>
      <c r="G5" s="7">
        <v>45663.0</v>
      </c>
      <c r="H5" s="8">
        <v>10.5</v>
      </c>
      <c r="I5" s="9">
        <v>6.3846</v>
      </c>
      <c r="J5" s="6">
        <v>22.97</v>
      </c>
      <c r="K5" s="10">
        <f t="shared" si="2"/>
        <v>0.1417415467</v>
      </c>
      <c r="L5" s="11"/>
    </row>
    <row r="6" ht="22.5" customHeight="1">
      <c r="A6" s="4" t="s">
        <v>12</v>
      </c>
      <c r="B6" s="6">
        <v>2.0</v>
      </c>
      <c r="C6" s="6" t="s">
        <v>13</v>
      </c>
      <c r="D6" s="4" t="s">
        <v>14</v>
      </c>
      <c r="E6" s="5" t="str">
        <f t="shared" si="1"/>
        <v>NMin_1_P2_t0_A</v>
      </c>
      <c r="F6" s="4">
        <v>5.0</v>
      </c>
      <c r="G6" s="7">
        <v>45663.0</v>
      </c>
      <c r="H6" s="8">
        <v>10.5</v>
      </c>
      <c r="I6" s="9">
        <v>6.5757</v>
      </c>
      <c r="J6" s="6">
        <v>20.14</v>
      </c>
      <c r="K6" s="10">
        <f t="shared" si="2"/>
        <v>0.3043190611</v>
      </c>
      <c r="L6" s="11"/>
    </row>
    <row r="7" ht="22.5" customHeight="1">
      <c r="A7" s="4" t="s">
        <v>12</v>
      </c>
      <c r="B7" s="6">
        <v>2.0</v>
      </c>
      <c r="C7" s="6" t="s">
        <v>13</v>
      </c>
      <c r="D7" s="4" t="s">
        <v>15</v>
      </c>
      <c r="E7" s="5" t="str">
        <f t="shared" si="1"/>
        <v>NMin_1_P2_t0_B</v>
      </c>
      <c r="F7" s="4">
        <v>6.0</v>
      </c>
      <c r="G7" s="7">
        <v>45663.0</v>
      </c>
      <c r="H7" s="8">
        <v>10.5</v>
      </c>
      <c r="I7" s="9">
        <v>6.6572</v>
      </c>
      <c r="J7" s="6">
        <v>20.14</v>
      </c>
      <c r="K7" s="10">
        <f t="shared" si="2"/>
        <v>0.3080908274</v>
      </c>
      <c r="L7" s="11"/>
    </row>
    <row r="8" ht="22.5" customHeight="1">
      <c r="A8" s="4" t="s">
        <v>12</v>
      </c>
      <c r="B8" s="6">
        <v>2.0</v>
      </c>
      <c r="C8" s="6" t="s">
        <v>16</v>
      </c>
      <c r="D8" s="4" t="s">
        <v>14</v>
      </c>
      <c r="E8" s="5" t="str">
        <f t="shared" si="1"/>
        <v>NMin_1_P2_t1_A</v>
      </c>
      <c r="F8" s="4">
        <v>7.0</v>
      </c>
      <c r="G8" s="7">
        <v>45663.0</v>
      </c>
      <c r="H8" s="8">
        <v>10.5</v>
      </c>
      <c r="I8" s="9">
        <v>6.1916</v>
      </c>
      <c r="J8" s="6">
        <v>20.14</v>
      </c>
      <c r="K8" s="10">
        <f t="shared" si="2"/>
        <v>0.2865431663</v>
      </c>
      <c r="L8" s="11"/>
    </row>
    <row r="9" ht="22.5" customHeight="1">
      <c r="A9" s="4" t="s">
        <v>12</v>
      </c>
      <c r="B9" s="6">
        <v>2.0</v>
      </c>
      <c r="C9" s="6" t="s">
        <v>16</v>
      </c>
      <c r="D9" s="4" t="s">
        <v>15</v>
      </c>
      <c r="E9" s="5" t="str">
        <f t="shared" si="1"/>
        <v>NMin_1_P2_t1_B</v>
      </c>
      <c r="F9" s="4">
        <v>8.0</v>
      </c>
      <c r="G9" s="7">
        <v>45663.0</v>
      </c>
      <c r="H9" s="8">
        <v>10.5</v>
      </c>
      <c r="I9" s="9">
        <v>6.0017</v>
      </c>
      <c r="J9" s="6">
        <v>20.14</v>
      </c>
      <c r="K9" s="10">
        <f t="shared" si="2"/>
        <v>0.2777547195</v>
      </c>
      <c r="L9" s="11"/>
    </row>
    <row r="10" ht="22.5" customHeight="1">
      <c r="A10" s="4" t="s">
        <v>12</v>
      </c>
      <c r="B10" s="6">
        <v>3.0</v>
      </c>
      <c r="C10" s="6" t="s">
        <v>13</v>
      </c>
      <c r="D10" s="4" t="s">
        <v>14</v>
      </c>
      <c r="E10" s="5" t="str">
        <f t="shared" si="1"/>
        <v>NMin_1_P3_t0_A</v>
      </c>
      <c r="F10" s="4">
        <v>9.0</v>
      </c>
      <c r="G10" s="7">
        <v>45663.0</v>
      </c>
      <c r="H10" s="8">
        <v>10.5</v>
      </c>
      <c r="I10" s="9">
        <v>6.306</v>
      </c>
      <c r="J10" s="6">
        <v>20.18</v>
      </c>
      <c r="K10" s="10">
        <f t="shared" si="2"/>
        <v>0.2896415377</v>
      </c>
      <c r="L10" s="11"/>
    </row>
    <row r="11" ht="22.5" customHeight="1">
      <c r="A11" s="4" t="s">
        <v>12</v>
      </c>
      <c r="B11" s="6">
        <v>3.0</v>
      </c>
      <c r="C11" s="6" t="s">
        <v>13</v>
      </c>
      <c r="D11" s="4" t="s">
        <v>15</v>
      </c>
      <c r="E11" s="5" t="str">
        <f t="shared" si="1"/>
        <v>NMin_1_P3_t0_B</v>
      </c>
      <c r="F11" s="4">
        <v>10.0</v>
      </c>
      <c r="G11" s="7">
        <v>45663.0</v>
      </c>
      <c r="H11" s="8">
        <v>10.5</v>
      </c>
      <c r="I11" s="9">
        <v>6.1144</v>
      </c>
      <c r="J11" s="6">
        <v>20.18</v>
      </c>
      <c r="K11" s="10">
        <f t="shared" si="2"/>
        <v>0.2808411383</v>
      </c>
      <c r="L11" s="11"/>
    </row>
    <row r="12" ht="22.5" customHeight="1">
      <c r="A12" s="4" t="s">
        <v>12</v>
      </c>
      <c r="B12" s="6">
        <v>3.0</v>
      </c>
      <c r="C12" s="6" t="s">
        <v>16</v>
      </c>
      <c r="D12" s="4" t="s">
        <v>14</v>
      </c>
      <c r="E12" s="5" t="str">
        <f t="shared" si="1"/>
        <v>NMin_1_P3_t1_A</v>
      </c>
      <c r="F12" s="4">
        <v>11.0</v>
      </c>
      <c r="G12" s="7">
        <v>45663.0</v>
      </c>
      <c r="H12" s="8">
        <v>10.5</v>
      </c>
      <c r="I12" s="9">
        <v>6.1183</v>
      </c>
      <c r="J12" s="6">
        <v>20.18</v>
      </c>
      <c r="K12" s="10">
        <f t="shared" si="2"/>
        <v>0.2810202696</v>
      </c>
      <c r="L12" s="11"/>
    </row>
    <row r="13" ht="22.5" customHeight="1">
      <c r="A13" s="4" t="s">
        <v>12</v>
      </c>
      <c r="B13" s="6">
        <v>3.0</v>
      </c>
      <c r="C13" s="6" t="s">
        <v>16</v>
      </c>
      <c r="D13" s="4" t="s">
        <v>15</v>
      </c>
      <c r="E13" s="5" t="str">
        <f t="shared" si="1"/>
        <v>NMin_1_P3_t1_B</v>
      </c>
      <c r="F13" s="4">
        <v>12.0</v>
      </c>
      <c r="G13" s="7">
        <v>45663.0</v>
      </c>
      <c r="H13" s="8">
        <v>10.5</v>
      </c>
      <c r="I13" s="9">
        <v>6.0756</v>
      </c>
      <c r="J13" s="6">
        <v>20.18</v>
      </c>
      <c r="K13" s="10">
        <f t="shared" si="2"/>
        <v>0.2790590115</v>
      </c>
      <c r="L13" s="11"/>
    </row>
    <row r="14" ht="22.5" customHeight="1">
      <c r="A14" s="4" t="s">
        <v>12</v>
      </c>
      <c r="B14" s="6">
        <v>4.0</v>
      </c>
      <c r="C14" s="6" t="s">
        <v>13</v>
      </c>
      <c r="D14" s="4" t="s">
        <v>14</v>
      </c>
      <c r="E14" s="5" t="str">
        <f t="shared" si="1"/>
        <v>NMin_1_P4_t0_A</v>
      </c>
      <c r="F14" s="4">
        <v>13.0</v>
      </c>
      <c r="G14" s="7">
        <v>45663.0</v>
      </c>
      <c r="H14" s="9">
        <v>10.5339</v>
      </c>
      <c r="I14" s="9">
        <v>5.6801</v>
      </c>
      <c r="J14" s="6">
        <v>21.98</v>
      </c>
      <c r="K14" s="10">
        <f t="shared" si="2"/>
        <v>0.1732248893</v>
      </c>
      <c r="L14" s="11"/>
    </row>
    <row r="15" ht="22.5" customHeight="1">
      <c r="A15" s="4" t="s">
        <v>12</v>
      </c>
      <c r="B15" s="6">
        <v>4.0</v>
      </c>
      <c r="C15" s="6" t="s">
        <v>13</v>
      </c>
      <c r="D15" s="4" t="s">
        <v>15</v>
      </c>
      <c r="E15" s="5" t="str">
        <f t="shared" si="1"/>
        <v>NMin_1_P4_t0_B</v>
      </c>
      <c r="F15" s="4">
        <v>14.0</v>
      </c>
      <c r="G15" s="7">
        <v>45663.0</v>
      </c>
      <c r="H15" s="9">
        <v>10.4612</v>
      </c>
      <c r="I15" s="9">
        <v>6.0982</v>
      </c>
      <c r="J15" s="6">
        <v>21.98</v>
      </c>
      <c r="K15" s="10">
        <f t="shared" si="2"/>
        <v>0.1859756026</v>
      </c>
      <c r="L15" s="11"/>
    </row>
    <row r="16" ht="22.5" customHeight="1">
      <c r="A16" s="4" t="s">
        <v>12</v>
      </c>
      <c r="B16" s="6">
        <v>4.0</v>
      </c>
      <c r="C16" s="6" t="s">
        <v>16</v>
      </c>
      <c r="D16" s="4" t="s">
        <v>14</v>
      </c>
      <c r="E16" s="5" t="str">
        <f t="shared" si="1"/>
        <v>NMin_1_P4_t1_A</v>
      </c>
      <c r="F16" s="4">
        <v>15.0</v>
      </c>
      <c r="G16" s="7">
        <v>45663.0</v>
      </c>
      <c r="H16" s="9">
        <v>10.6013</v>
      </c>
      <c r="I16" s="9">
        <v>5.9844</v>
      </c>
      <c r="J16" s="6">
        <v>21.98</v>
      </c>
      <c r="K16" s="10">
        <f t="shared" si="2"/>
        <v>0.1825050664</v>
      </c>
      <c r="L16" s="11"/>
    </row>
    <row r="17" ht="22.5" customHeight="1">
      <c r="A17" s="4" t="s">
        <v>12</v>
      </c>
      <c r="B17" s="6">
        <v>4.0</v>
      </c>
      <c r="C17" s="6" t="s">
        <v>16</v>
      </c>
      <c r="D17" s="4" t="s">
        <v>15</v>
      </c>
      <c r="E17" s="5" t="str">
        <f t="shared" si="1"/>
        <v>NMin_1_P4_t1_B</v>
      </c>
      <c r="F17" s="4">
        <v>16.0</v>
      </c>
      <c r="G17" s="7">
        <v>45663.0</v>
      </c>
      <c r="H17" s="9">
        <v>10.947</v>
      </c>
      <c r="I17" s="9">
        <v>6.1869</v>
      </c>
      <c r="J17" s="6">
        <v>21.98</v>
      </c>
      <c r="K17" s="10">
        <f t="shared" si="2"/>
        <v>0.188680669</v>
      </c>
      <c r="L17" s="11"/>
    </row>
    <row r="18" ht="22.5" customHeight="1">
      <c r="A18" s="4" t="s">
        <v>12</v>
      </c>
      <c r="B18" s="6">
        <v>5.0</v>
      </c>
      <c r="C18" s="6" t="s">
        <v>13</v>
      </c>
      <c r="D18" s="4" t="s">
        <v>14</v>
      </c>
      <c r="E18" s="5" t="str">
        <f t="shared" si="1"/>
        <v>NMin_1_P5_t0_A</v>
      </c>
      <c r="F18" s="4">
        <v>17.0</v>
      </c>
      <c r="G18" s="7">
        <v>45663.0</v>
      </c>
      <c r="H18" s="9">
        <v>10.5115</v>
      </c>
      <c r="I18" s="9">
        <v>5.9824</v>
      </c>
      <c r="J18" s="6">
        <v>20.419999999999998</v>
      </c>
      <c r="K18" s="10">
        <f t="shared" si="2"/>
        <v>0.2623075237</v>
      </c>
      <c r="L18" s="11"/>
    </row>
    <row r="19" ht="22.5" customHeight="1">
      <c r="A19" s="4" t="s">
        <v>12</v>
      </c>
      <c r="B19" s="6">
        <v>5.0</v>
      </c>
      <c r="C19" s="6" t="s">
        <v>13</v>
      </c>
      <c r="D19" s="4" t="s">
        <v>15</v>
      </c>
      <c r="E19" s="5" t="str">
        <f t="shared" si="1"/>
        <v>NMin_1_P5_t0_B</v>
      </c>
      <c r="F19" s="4">
        <v>18.0</v>
      </c>
      <c r="G19" s="7">
        <v>45663.0</v>
      </c>
      <c r="H19" s="9">
        <v>10.2963</v>
      </c>
      <c r="I19" s="9">
        <v>6.5079</v>
      </c>
      <c r="J19" s="6">
        <v>20.419999999999998</v>
      </c>
      <c r="K19" s="10">
        <f t="shared" si="2"/>
        <v>0.2853488789</v>
      </c>
      <c r="L19" s="11"/>
    </row>
    <row r="20" ht="22.5" customHeight="1">
      <c r="A20" s="4" t="s">
        <v>12</v>
      </c>
      <c r="B20" s="6">
        <v>5.0</v>
      </c>
      <c r="C20" s="6" t="s">
        <v>16</v>
      </c>
      <c r="D20" s="4" t="s">
        <v>14</v>
      </c>
      <c r="E20" s="5" t="str">
        <f t="shared" si="1"/>
        <v>NMin_1_P5_t1_A</v>
      </c>
      <c r="F20" s="4">
        <v>19.0</v>
      </c>
      <c r="G20" s="7">
        <v>45663.0</v>
      </c>
      <c r="H20" s="9">
        <v>10.4727</v>
      </c>
      <c r="I20" s="9">
        <v>6.7684</v>
      </c>
      <c r="J20" s="6">
        <v>20.419999999999998</v>
      </c>
      <c r="K20" s="10">
        <f t="shared" si="2"/>
        <v>0.2967709018</v>
      </c>
      <c r="L20" s="11"/>
    </row>
    <row r="21" ht="22.5" customHeight="1">
      <c r="A21" s="4" t="s">
        <v>12</v>
      </c>
      <c r="B21" s="6">
        <v>5.0</v>
      </c>
      <c r="C21" s="6" t="s">
        <v>16</v>
      </c>
      <c r="D21" s="4" t="s">
        <v>15</v>
      </c>
      <c r="E21" s="5" t="str">
        <f t="shared" si="1"/>
        <v>NMin_1_P5_t1_B</v>
      </c>
      <c r="F21" s="4">
        <v>20.0</v>
      </c>
      <c r="G21" s="7">
        <v>45663.0</v>
      </c>
      <c r="H21" s="9">
        <v>10.4866</v>
      </c>
      <c r="I21" s="9">
        <v>6.5393</v>
      </c>
      <c r="J21" s="6">
        <v>20.419999999999998</v>
      </c>
      <c r="K21" s="10">
        <f t="shared" si="2"/>
        <v>0.2867256602</v>
      </c>
      <c r="L21" s="11"/>
    </row>
    <row r="22" ht="22.5" customHeight="1">
      <c r="A22" s="4" t="s">
        <v>12</v>
      </c>
      <c r="B22" s="6">
        <v>6.0</v>
      </c>
      <c r="C22" s="6" t="s">
        <v>13</v>
      </c>
      <c r="D22" s="4" t="s">
        <v>14</v>
      </c>
      <c r="E22" s="5" t="str">
        <f t="shared" si="1"/>
        <v>NMin_1_P6_t0_A</v>
      </c>
      <c r="F22" s="4">
        <v>21.0</v>
      </c>
      <c r="G22" s="7">
        <v>45663.0</v>
      </c>
      <c r="H22" s="9">
        <v>10.6411</v>
      </c>
      <c r="I22" s="9">
        <v>6.6111</v>
      </c>
      <c r="J22" s="6">
        <v>21.41</v>
      </c>
      <c r="K22" s="10">
        <f t="shared" si="2"/>
        <v>0.2336020015</v>
      </c>
      <c r="L22" s="11"/>
    </row>
    <row r="23" ht="22.5" customHeight="1">
      <c r="A23" s="4" t="s">
        <v>12</v>
      </c>
      <c r="B23" s="6">
        <v>6.0</v>
      </c>
      <c r="C23" s="6" t="s">
        <v>13</v>
      </c>
      <c r="D23" s="4" t="s">
        <v>15</v>
      </c>
      <c r="E23" s="5" t="str">
        <f t="shared" si="1"/>
        <v>NMin_1_P6_t0_B</v>
      </c>
      <c r="F23" s="4">
        <v>22.0</v>
      </c>
      <c r="G23" s="7">
        <v>45663.0</v>
      </c>
      <c r="H23" s="9">
        <v>10.4248</v>
      </c>
      <c r="I23" s="9">
        <v>6.1284</v>
      </c>
      <c r="J23" s="6">
        <v>21.41</v>
      </c>
      <c r="K23" s="10">
        <f t="shared" si="2"/>
        <v>0.2165458858</v>
      </c>
      <c r="L23" s="11"/>
    </row>
    <row r="24" ht="22.5" customHeight="1">
      <c r="A24" s="4" t="s">
        <v>12</v>
      </c>
      <c r="B24" s="6">
        <v>6.0</v>
      </c>
      <c r="C24" s="6" t="s">
        <v>16</v>
      </c>
      <c r="D24" s="4" t="s">
        <v>14</v>
      </c>
      <c r="E24" s="5" t="str">
        <f t="shared" si="1"/>
        <v>NMin_1_P6_t1_A</v>
      </c>
      <c r="F24" s="4">
        <v>23.0</v>
      </c>
      <c r="G24" s="7">
        <v>45663.0</v>
      </c>
      <c r="H24" s="9">
        <v>10.5223</v>
      </c>
      <c r="I24" s="9">
        <v>6.7279</v>
      </c>
      <c r="J24" s="6">
        <v>21.41</v>
      </c>
      <c r="K24" s="10">
        <f t="shared" si="2"/>
        <v>0.237729108</v>
      </c>
      <c r="L24" s="11"/>
    </row>
    <row r="25" ht="22.5" customHeight="1">
      <c r="A25" s="4" t="s">
        <v>12</v>
      </c>
      <c r="B25" s="6">
        <v>6.0</v>
      </c>
      <c r="C25" s="6" t="s">
        <v>16</v>
      </c>
      <c r="D25" s="4" t="s">
        <v>15</v>
      </c>
      <c r="E25" s="5" t="str">
        <f t="shared" si="1"/>
        <v>NMin_1_P6_t1_B</v>
      </c>
      <c r="F25" s="4">
        <v>24.0</v>
      </c>
      <c r="G25" s="7">
        <v>45663.0</v>
      </c>
      <c r="H25" s="9">
        <v>10.6448</v>
      </c>
      <c r="I25" s="9">
        <v>5.662</v>
      </c>
      <c r="J25" s="6">
        <v>21.41</v>
      </c>
      <c r="K25" s="10">
        <f t="shared" si="2"/>
        <v>0.2000657277</v>
      </c>
      <c r="L25" s="11"/>
    </row>
    <row r="26" ht="22.5" customHeight="1">
      <c r="A26" s="4" t="s">
        <v>12</v>
      </c>
      <c r="B26" s="6">
        <v>7.0</v>
      </c>
      <c r="C26" s="6" t="s">
        <v>13</v>
      </c>
      <c r="D26" s="4" t="s">
        <v>14</v>
      </c>
      <c r="E26" s="5" t="str">
        <f t="shared" si="1"/>
        <v>NMin_1_P7_t0_A</v>
      </c>
      <c r="F26" s="4">
        <v>25.0</v>
      </c>
      <c r="G26" s="7">
        <v>45663.0</v>
      </c>
      <c r="H26" s="9">
        <v>10.4721</v>
      </c>
      <c r="I26" s="9">
        <v>6.2925</v>
      </c>
      <c r="J26" s="6">
        <v>21.41</v>
      </c>
      <c r="K26" s="10">
        <f t="shared" si="2"/>
        <v>0.2223443291</v>
      </c>
      <c r="L26" s="11"/>
    </row>
    <row r="27" ht="22.5" customHeight="1">
      <c r="A27" s="4" t="s">
        <v>12</v>
      </c>
      <c r="B27" s="6">
        <v>7.0</v>
      </c>
      <c r="C27" s="6" t="s">
        <v>13</v>
      </c>
      <c r="D27" s="4" t="s">
        <v>15</v>
      </c>
      <c r="E27" s="5" t="str">
        <f t="shared" si="1"/>
        <v>NMin_1_P7_t0_B</v>
      </c>
      <c r="F27" s="4">
        <v>26.0</v>
      </c>
      <c r="G27" s="7">
        <v>45663.0</v>
      </c>
      <c r="H27" s="9">
        <v>10.5219</v>
      </c>
      <c r="I27" s="9">
        <v>6.412</v>
      </c>
      <c r="J27" s="6">
        <v>21.41</v>
      </c>
      <c r="K27" s="10">
        <f t="shared" si="2"/>
        <v>0.2265668396</v>
      </c>
      <c r="L27" s="11"/>
    </row>
    <row r="28" ht="22.5" customHeight="1">
      <c r="A28" s="4" t="s">
        <v>12</v>
      </c>
      <c r="B28" s="6">
        <v>7.0</v>
      </c>
      <c r="C28" s="6" t="s">
        <v>16</v>
      </c>
      <c r="D28" s="4" t="s">
        <v>14</v>
      </c>
      <c r="E28" s="5" t="str">
        <f t="shared" si="1"/>
        <v>NMin_1_P7_t1_A</v>
      </c>
      <c r="F28" s="4">
        <v>27.0</v>
      </c>
      <c r="G28" s="7">
        <v>45663.0</v>
      </c>
      <c r="H28" s="9">
        <v>10.3747</v>
      </c>
      <c r="I28" s="9">
        <v>6.0835</v>
      </c>
      <c r="J28" s="6">
        <v>21.41</v>
      </c>
      <c r="K28" s="10">
        <f t="shared" si="2"/>
        <v>0.2149593526</v>
      </c>
      <c r="L28" s="11"/>
    </row>
    <row r="29" ht="22.5" customHeight="1">
      <c r="A29" s="4" t="s">
        <v>12</v>
      </c>
      <c r="B29" s="6">
        <v>7.0</v>
      </c>
      <c r="C29" s="6" t="s">
        <v>16</v>
      </c>
      <c r="D29" s="4" t="s">
        <v>15</v>
      </c>
      <c r="E29" s="5" t="str">
        <f t="shared" si="1"/>
        <v>NMin_1_P7_t1_B</v>
      </c>
      <c r="F29" s="4">
        <v>28.0</v>
      </c>
      <c r="G29" s="7">
        <v>45663.0</v>
      </c>
      <c r="H29" s="9">
        <v>10.7204</v>
      </c>
      <c r="I29" s="9">
        <v>5.9226</v>
      </c>
      <c r="J29" s="6">
        <v>21.41</v>
      </c>
      <c r="K29" s="10">
        <f t="shared" si="2"/>
        <v>0.2092739807</v>
      </c>
      <c r="L29" s="11"/>
    </row>
    <row r="30" ht="22.5" customHeight="1">
      <c r="A30" s="4" t="s">
        <v>12</v>
      </c>
      <c r="B30" s="6">
        <v>8.0</v>
      </c>
      <c r="C30" s="6" t="s">
        <v>13</v>
      </c>
      <c r="D30" s="4" t="s">
        <v>14</v>
      </c>
      <c r="E30" s="5" t="str">
        <f t="shared" si="1"/>
        <v>NMin_1_P8_t0_A</v>
      </c>
      <c r="F30" s="4">
        <v>29.0</v>
      </c>
      <c r="G30" s="7">
        <v>45663.0</v>
      </c>
      <c r="H30" s="9">
        <v>10.4449</v>
      </c>
      <c r="I30" s="9">
        <v>6.0057</v>
      </c>
      <c r="J30" s="6">
        <v>20.95</v>
      </c>
      <c r="K30" s="10">
        <f t="shared" si="2"/>
        <v>0.2358584126</v>
      </c>
      <c r="L30" s="11"/>
    </row>
    <row r="31" ht="22.5" customHeight="1">
      <c r="A31" s="4" t="s">
        <v>12</v>
      </c>
      <c r="B31" s="6">
        <v>8.0</v>
      </c>
      <c r="C31" s="6" t="s">
        <v>13</v>
      </c>
      <c r="D31" s="4" t="s">
        <v>15</v>
      </c>
      <c r="E31" s="5" t="str">
        <f t="shared" si="1"/>
        <v>NMin_1_P8_t0_B</v>
      </c>
      <c r="F31" s="4">
        <v>30.0</v>
      </c>
      <c r="G31" s="7">
        <v>45663.0</v>
      </c>
      <c r="H31" s="9">
        <v>10.5651</v>
      </c>
      <c r="I31" s="9">
        <v>6.7246</v>
      </c>
      <c r="J31" s="6">
        <v>20.95</v>
      </c>
      <c r="K31" s="10">
        <f t="shared" si="2"/>
        <v>0.2640913601</v>
      </c>
      <c r="L31" s="11"/>
    </row>
    <row r="32" ht="22.5" customHeight="1">
      <c r="A32" s="4" t="s">
        <v>12</v>
      </c>
      <c r="B32" s="6">
        <v>8.0</v>
      </c>
      <c r="C32" s="6" t="s">
        <v>16</v>
      </c>
      <c r="D32" s="4" t="s">
        <v>14</v>
      </c>
      <c r="E32" s="5" t="str">
        <f t="shared" si="1"/>
        <v>NMin_1_P8_t1_A</v>
      </c>
      <c r="F32" s="4">
        <v>31.0</v>
      </c>
      <c r="G32" s="7">
        <v>45663.0</v>
      </c>
      <c r="H32" s="9">
        <v>10.466</v>
      </c>
      <c r="I32" s="9">
        <v>6.0787</v>
      </c>
      <c r="J32" s="6">
        <v>20.95</v>
      </c>
      <c r="K32" s="10">
        <f t="shared" si="2"/>
        <v>0.2387252997</v>
      </c>
      <c r="L32" s="11"/>
    </row>
    <row r="33" ht="22.5" customHeight="1">
      <c r="A33" s="4" t="s">
        <v>12</v>
      </c>
      <c r="B33" s="6">
        <v>8.0</v>
      </c>
      <c r="C33" s="6" t="s">
        <v>16</v>
      </c>
      <c r="D33" s="4" t="s">
        <v>15</v>
      </c>
      <c r="E33" s="5" t="str">
        <f t="shared" si="1"/>
        <v>NMin_1_P8_t1_B</v>
      </c>
      <c r="F33" s="4">
        <v>32.0</v>
      </c>
      <c r="G33" s="7">
        <v>45663.0</v>
      </c>
      <c r="H33" s="9">
        <v>10.6583</v>
      </c>
      <c r="I33" s="9">
        <v>6.1781</v>
      </c>
      <c r="J33" s="6">
        <v>20.95</v>
      </c>
      <c r="K33" s="10">
        <f t="shared" si="2"/>
        <v>0.2426289789</v>
      </c>
      <c r="L33" s="11"/>
    </row>
    <row r="34" ht="22.5" customHeight="1">
      <c r="A34" s="4" t="s">
        <v>12</v>
      </c>
      <c r="B34" s="6">
        <v>9.0</v>
      </c>
      <c r="C34" s="6" t="s">
        <v>13</v>
      </c>
      <c r="D34" s="4" t="s">
        <v>14</v>
      </c>
      <c r="E34" s="5" t="str">
        <f t="shared" si="1"/>
        <v>NMin_1_P9_t0_A</v>
      </c>
      <c r="F34" s="4">
        <v>33.0</v>
      </c>
      <c r="G34" s="7">
        <v>45663.0</v>
      </c>
      <c r="H34" s="9">
        <v>10.6203</v>
      </c>
      <c r="I34" s="9">
        <v>5.9021</v>
      </c>
      <c r="J34" s="6">
        <v>19.650000000000002</v>
      </c>
      <c r="K34" s="10">
        <f t="shared" si="2"/>
        <v>0.2984346427</v>
      </c>
      <c r="L34" s="11"/>
    </row>
    <row r="35" ht="22.5" customHeight="1">
      <c r="A35" s="4" t="s">
        <v>12</v>
      </c>
      <c r="B35" s="6">
        <v>9.0</v>
      </c>
      <c r="C35" s="6" t="s">
        <v>13</v>
      </c>
      <c r="D35" s="4" t="s">
        <v>15</v>
      </c>
      <c r="E35" s="5" t="str">
        <f t="shared" si="1"/>
        <v>NMin_1_P9_t0_B</v>
      </c>
      <c r="F35" s="4">
        <v>34.0</v>
      </c>
      <c r="G35" s="7">
        <v>45663.0</v>
      </c>
      <c r="H35" s="9">
        <v>10.5599</v>
      </c>
      <c r="I35" s="9">
        <v>6.421</v>
      </c>
      <c r="J35" s="6">
        <v>19.650000000000002</v>
      </c>
      <c r="K35" s="10">
        <f t="shared" si="2"/>
        <v>0.3246723778</v>
      </c>
      <c r="L35" s="11"/>
    </row>
    <row r="36" ht="22.5" customHeight="1">
      <c r="A36" s="4" t="s">
        <v>12</v>
      </c>
      <c r="B36" s="6">
        <v>9.0</v>
      </c>
      <c r="C36" s="6" t="s">
        <v>16</v>
      </c>
      <c r="D36" s="4" t="s">
        <v>14</v>
      </c>
      <c r="E36" s="5" t="str">
        <f t="shared" si="1"/>
        <v>NMin_1_P9_t1_A</v>
      </c>
      <c r="F36" s="4">
        <v>35.0</v>
      </c>
      <c r="G36" s="7">
        <v>45663.0</v>
      </c>
      <c r="H36" s="9">
        <v>10.6031</v>
      </c>
      <c r="I36" s="9">
        <v>6.3169</v>
      </c>
      <c r="J36" s="6">
        <v>19.650000000000002</v>
      </c>
      <c r="K36" s="10">
        <f t="shared" si="2"/>
        <v>0.3194086502</v>
      </c>
      <c r="L36" s="11"/>
    </row>
    <row r="37" ht="22.5" customHeight="1">
      <c r="A37" s="4" t="s">
        <v>12</v>
      </c>
      <c r="B37" s="6">
        <v>9.0</v>
      </c>
      <c r="C37" s="6" t="s">
        <v>16</v>
      </c>
      <c r="D37" s="4" t="s">
        <v>15</v>
      </c>
      <c r="E37" s="5" t="str">
        <f t="shared" si="1"/>
        <v>NMin_1_P9_t1_B</v>
      </c>
      <c r="F37" s="4">
        <v>36.0</v>
      </c>
      <c r="G37" s="7">
        <v>45663.0</v>
      </c>
      <c r="H37" s="9">
        <v>10.6083</v>
      </c>
      <c r="I37" s="9">
        <v>6.5475</v>
      </c>
      <c r="J37" s="6">
        <v>19.650000000000002</v>
      </c>
      <c r="K37" s="10">
        <f t="shared" si="2"/>
        <v>0.3310687422</v>
      </c>
      <c r="L37" s="11"/>
    </row>
    <row r="38" ht="22.5" customHeight="1">
      <c r="A38" s="4" t="s">
        <v>12</v>
      </c>
      <c r="B38" s="6">
        <v>10.0</v>
      </c>
      <c r="C38" s="6" t="s">
        <v>13</v>
      </c>
      <c r="D38" s="4" t="s">
        <v>14</v>
      </c>
      <c r="E38" s="5" t="str">
        <f t="shared" si="1"/>
        <v>NMin_1_P10_t0_A</v>
      </c>
      <c r="F38" s="4">
        <v>37.0</v>
      </c>
      <c r="G38" s="7">
        <v>45663.0</v>
      </c>
      <c r="H38" s="9">
        <v>10.4482</v>
      </c>
      <c r="I38" s="9">
        <v>7.1089</v>
      </c>
      <c r="J38" s="6">
        <v>20.18</v>
      </c>
      <c r="K38" s="10">
        <f t="shared" si="2"/>
        <v>0.3265196206</v>
      </c>
      <c r="L38" s="11"/>
    </row>
    <row r="39" ht="22.5" customHeight="1">
      <c r="A39" s="4" t="s">
        <v>12</v>
      </c>
      <c r="B39" s="6">
        <v>10.0</v>
      </c>
      <c r="C39" s="6" t="s">
        <v>13</v>
      </c>
      <c r="D39" s="4" t="s">
        <v>15</v>
      </c>
      <c r="E39" s="5" t="str">
        <f t="shared" si="1"/>
        <v>NMin_1_P10_t0_B</v>
      </c>
      <c r="F39" s="4">
        <v>38.0</v>
      </c>
      <c r="G39" s="7">
        <v>45663.0</v>
      </c>
      <c r="H39" s="9">
        <v>10.4936</v>
      </c>
      <c r="I39" s="9">
        <v>6.7444</v>
      </c>
      <c r="J39" s="6">
        <v>20.18</v>
      </c>
      <c r="K39" s="10">
        <f t="shared" si="2"/>
        <v>0.3097777334</v>
      </c>
      <c r="L39" s="11"/>
    </row>
    <row r="40" ht="22.5" customHeight="1">
      <c r="A40" s="4" t="s">
        <v>12</v>
      </c>
      <c r="B40" s="6">
        <v>10.0</v>
      </c>
      <c r="C40" s="6" t="s">
        <v>16</v>
      </c>
      <c r="D40" s="4" t="s">
        <v>14</v>
      </c>
      <c r="E40" s="5" t="str">
        <f t="shared" si="1"/>
        <v>NMin_1_P10_t1_A</v>
      </c>
      <c r="F40" s="4">
        <v>39.0</v>
      </c>
      <c r="G40" s="7">
        <v>45663.0</v>
      </c>
      <c r="H40" s="9">
        <v>10.367</v>
      </c>
      <c r="I40" s="9">
        <v>6.1235</v>
      </c>
      <c r="J40" s="6">
        <v>20.18</v>
      </c>
      <c r="K40" s="10">
        <f t="shared" si="2"/>
        <v>0.2812591113</v>
      </c>
      <c r="L40" s="11"/>
    </row>
    <row r="41" ht="22.5" customHeight="1">
      <c r="A41" s="4" t="s">
        <v>12</v>
      </c>
      <c r="B41" s="6">
        <v>10.0</v>
      </c>
      <c r="C41" s="6" t="s">
        <v>16</v>
      </c>
      <c r="D41" s="4" t="s">
        <v>15</v>
      </c>
      <c r="E41" s="5" t="str">
        <f t="shared" si="1"/>
        <v>NMin_1_P10_t1_B</v>
      </c>
      <c r="F41" s="4">
        <v>40.0</v>
      </c>
      <c r="G41" s="7">
        <v>45663.0</v>
      </c>
      <c r="H41" s="9">
        <v>10.6392</v>
      </c>
      <c r="I41" s="9">
        <v>5.844</v>
      </c>
      <c r="J41" s="6">
        <v>20.18</v>
      </c>
      <c r="K41" s="10">
        <f t="shared" si="2"/>
        <v>0.2684213679</v>
      </c>
      <c r="L41" s="11"/>
    </row>
    <row r="42" ht="22.5" customHeight="1">
      <c r="A42" s="4" t="s">
        <v>12</v>
      </c>
      <c r="B42" s="6">
        <v>11.0</v>
      </c>
      <c r="C42" s="6" t="s">
        <v>13</v>
      </c>
      <c r="D42" s="4" t="s">
        <v>14</v>
      </c>
      <c r="E42" s="5" t="str">
        <f t="shared" si="1"/>
        <v>NMin_1_P11_t0_A</v>
      </c>
      <c r="F42" s="4">
        <v>41.0</v>
      </c>
      <c r="G42" s="7">
        <v>45663.0</v>
      </c>
      <c r="H42" s="9">
        <v>10.5826</v>
      </c>
      <c r="I42" s="9">
        <v>5.8118</v>
      </c>
      <c r="J42" s="6">
        <v>22.86</v>
      </c>
      <c r="K42" s="10">
        <f t="shared" si="2"/>
        <v>0.1343440664</v>
      </c>
      <c r="L42" s="11"/>
    </row>
    <row r="43" ht="22.5" customHeight="1">
      <c r="A43" s="4" t="s">
        <v>12</v>
      </c>
      <c r="B43" s="6">
        <v>11.0</v>
      </c>
      <c r="C43" s="6" t="s">
        <v>13</v>
      </c>
      <c r="D43" s="4" t="s">
        <v>15</v>
      </c>
      <c r="E43" s="5" t="str">
        <f t="shared" si="1"/>
        <v>NMin_1_P11_t0_B</v>
      </c>
      <c r="F43" s="4">
        <v>42.0</v>
      </c>
      <c r="G43" s="7">
        <v>45663.0</v>
      </c>
      <c r="H43" s="9">
        <v>10.5274</v>
      </c>
      <c r="I43" s="9">
        <v>6.447</v>
      </c>
      <c r="J43" s="6">
        <v>22.86</v>
      </c>
      <c r="K43" s="10">
        <f t="shared" si="2"/>
        <v>0.1490271854</v>
      </c>
      <c r="L43" s="11"/>
    </row>
    <row r="44" ht="22.5" customHeight="1">
      <c r="A44" s="4" t="s">
        <v>12</v>
      </c>
      <c r="B44" s="6">
        <v>11.0</v>
      </c>
      <c r="C44" s="6" t="s">
        <v>16</v>
      </c>
      <c r="D44" s="4" t="s">
        <v>14</v>
      </c>
      <c r="E44" s="5" t="str">
        <f t="shared" si="1"/>
        <v>NMin_1_P11_t1_A</v>
      </c>
      <c r="F44" s="4">
        <v>43.0</v>
      </c>
      <c r="G44" s="7">
        <v>45663.0</v>
      </c>
      <c r="H44" s="9">
        <v>10.6323</v>
      </c>
      <c r="I44" s="9">
        <v>5.8917</v>
      </c>
      <c r="J44" s="6">
        <v>22.86</v>
      </c>
      <c r="K44" s="10">
        <f t="shared" si="2"/>
        <v>0.1361910142</v>
      </c>
      <c r="L44" s="11"/>
    </row>
    <row r="45" ht="22.5" customHeight="1">
      <c r="A45" s="4" t="s">
        <v>12</v>
      </c>
      <c r="B45" s="6">
        <v>11.0</v>
      </c>
      <c r="C45" s="6" t="s">
        <v>16</v>
      </c>
      <c r="D45" s="4" t="s">
        <v>15</v>
      </c>
      <c r="E45" s="5" t="str">
        <f t="shared" si="1"/>
        <v>NMin_1_P11_t1_B</v>
      </c>
      <c r="F45" s="4">
        <v>44.0</v>
      </c>
      <c r="G45" s="7">
        <v>45663.0</v>
      </c>
      <c r="H45" s="9">
        <v>10.4719</v>
      </c>
      <c r="I45" s="9">
        <v>6.1211</v>
      </c>
      <c r="J45" s="6">
        <v>22.86</v>
      </c>
      <c r="K45" s="10">
        <f t="shared" si="2"/>
        <v>0.1414937653</v>
      </c>
      <c r="L45" s="11"/>
    </row>
    <row r="46" ht="22.5" customHeight="1">
      <c r="A46" s="4" t="s">
        <v>12</v>
      </c>
      <c r="B46" s="6">
        <v>12.0</v>
      </c>
      <c r="C46" s="6" t="s">
        <v>13</v>
      </c>
      <c r="D46" s="4" t="s">
        <v>14</v>
      </c>
      <c r="E46" s="5" t="str">
        <f t="shared" si="1"/>
        <v>NMin_1_P12_t0_A</v>
      </c>
      <c r="F46" s="4">
        <v>45.0</v>
      </c>
      <c r="G46" s="7">
        <v>45663.0</v>
      </c>
      <c r="H46" s="9">
        <v>10.708</v>
      </c>
      <c r="I46" s="9">
        <v>6.6043</v>
      </c>
      <c r="J46" s="6">
        <v>21.4</v>
      </c>
      <c r="K46" s="10">
        <f t="shared" si="2"/>
        <v>0.2339249588</v>
      </c>
      <c r="L46" s="11"/>
    </row>
    <row r="47" ht="22.5" customHeight="1">
      <c r="A47" s="4" t="s">
        <v>12</v>
      </c>
      <c r="B47" s="6">
        <v>12.0</v>
      </c>
      <c r="C47" s="6" t="s">
        <v>13</v>
      </c>
      <c r="D47" s="4" t="s">
        <v>15</v>
      </c>
      <c r="E47" s="5" t="str">
        <f t="shared" si="1"/>
        <v>NMin_1_P12_t0_B</v>
      </c>
      <c r="F47" s="4">
        <v>46.0</v>
      </c>
      <c r="G47" s="7">
        <v>45663.0</v>
      </c>
      <c r="H47" s="9">
        <v>10.6695</v>
      </c>
      <c r="I47" s="9">
        <v>6.3846</v>
      </c>
      <c r="J47" s="6">
        <v>21.4</v>
      </c>
      <c r="K47" s="10">
        <f t="shared" si="2"/>
        <v>0.2261431631</v>
      </c>
      <c r="L47" s="11"/>
    </row>
    <row r="48" ht="22.5" customHeight="1">
      <c r="A48" s="4" t="s">
        <v>12</v>
      </c>
      <c r="B48" s="6">
        <v>12.0</v>
      </c>
      <c r="C48" s="6" t="s">
        <v>16</v>
      </c>
      <c r="D48" s="4" t="s">
        <v>14</v>
      </c>
      <c r="E48" s="5" t="str">
        <f t="shared" si="1"/>
        <v>NMin_1_P12_t1_A</v>
      </c>
      <c r="F48" s="4">
        <v>47.0</v>
      </c>
      <c r="G48" s="7">
        <v>45663.0</v>
      </c>
      <c r="H48" s="9">
        <v>10.2766</v>
      </c>
      <c r="I48" s="9">
        <v>6.3429</v>
      </c>
      <c r="J48" s="6">
        <v>21.4</v>
      </c>
      <c r="K48" s="10">
        <f t="shared" si="2"/>
        <v>0.224666145</v>
      </c>
      <c r="L48" s="11"/>
    </row>
    <row r="49" ht="22.5" customHeight="1">
      <c r="A49" s="4" t="s">
        <v>12</v>
      </c>
      <c r="B49" s="6">
        <v>12.0</v>
      </c>
      <c r="C49" s="6" t="s">
        <v>16</v>
      </c>
      <c r="D49" s="4" t="s">
        <v>15</v>
      </c>
      <c r="E49" s="5" t="str">
        <f t="shared" si="1"/>
        <v>NMin_1_P12_t1_B</v>
      </c>
      <c r="F49" s="4">
        <v>48.0</v>
      </c>
      <c r="G49" s="7">
        <v>45663.0</v>
      </c>
      <c r="H49" s="9">
        <v>10.3544</v>
      </c>
      <c r="I49" s="9">
        <v>5.9299</v>
      </c>
      <c r="J49" s="6">
        <v>21.4</v>
      </c>
      <c r="K49" s="10">
        <f t="shared" si="2"/>
        <v>0.2100376442</v>
      </c>
      <c r="L49" s="11"/>
    </row>
    <row r="50" ht="22.5" customHeight="1">
      <c r="A50" s="4" t="s">
        <v>12</v>
      </c>
      <c r="B50" s="6">
        <v>13.0</v>
      </c>
      <c r="C50" s="6" t="s">
        <v>13</v>
      </c>
      <c r="D50" s="4" t="s">
        <v>14</v>
      </c>
      <c r="E50" s="5" t="str">
        <f t="shared" si="1"/>
        <v>NMin_1_P13_t0_A</v>
      </c>
      <c r="F50" s="4">
        <v>49.0</v>
      </c>
      <c r="G50" s="7">
        <v>45663.0</v>
      </c>
      <c r="H50" s="9">
        <v>10.4861</v>
      </c>
      <c r="I50" s="9">
        <v>6.6971</v>
      </c>
      <c r="J50" s="6">
        <v>22.13</v>
      </c>
      <c r="K50" s="10">
        <f t="shared" si="2"/>
        <v>0.1957639155</v>
      </c>
      <c r="L50" s="11"/>
    </row>
    <row r="51" ht="22.5" customHeight="1">
      <c r="A51" s="4" t="s">
        <v>12</v>
      </c>
      <c r="B51" s="6">
        <v>13.0</v>
      </c>
      <c r="C51" s="6" t="s">
        <v>13</v>
      </c>
      <c r="D51" s="4" t="s">
        <v>15</v>
      </c>
      <c r="E51" s="5" t="str">
        <f t="shared" si="1"/>
        <v>NMin_1_P13_t0_B</v>
      </c>
      <c r="F51" s="4">
        <v>50.0</v>
      </c>
      <c r="G51" s="7">
        <v>45663.0</v>
      </c>
      <c r="H51" s="9">
        <v>10.3639</v>
      </c>
      <c r="I51" s="9">
        <v>5.9991</v>
      </c>
      <c r="J51" s="6">
        <v>22.13</v>
      </c>
      <c r="K51" s="10">
        <f t="shared" si="2"/>
        <v>0.1753605748</v>
      </c>
      <c r="L51" s="11"/>
    </row>
    <row r="52" ht="22.5" customHeight="1">
      <c r="A52" s="4" t="s">
        <v>12</v>
      </c>
      <c r="B52" s="6">
        <v>13.0</v>
      </c>
      <c r="C52" s="6" t="s">
        <v>16</v>
      </c>
      <c r="D52" s="4" t="s">
        <v>14</v>
      </c>
      <c r="E52" s="5" t="str">
        <f t="shared" si="1"/>
        <v>NMin_1_P13_t1_A</v>
      </c>
      <c r="F52" s="4">
        <v>51.0</v>
      </c>
      <c r="G52" s="7">
        <v>45663.0</v>
      </c>
      <c r="H52" s="9">
        <v>10.6861</v>
      </c>
      <c r="I52" s="9">
        <v>6.7214</v>
      </c>
      <c r="J52" s="6">
        <v>22.13</v>
      </c>
      <c r="K52" s="10">
        <f t="shared" si="2"/>
        <v>0.1964742324</v>
      </c>
      <c r="L52" s="11"/>
    </row>
    <row r="53" ht="22.5" customHeight="1">
      <c r="A53" s="4" t="s">
        <v>12</v>
      </c>
      <c r="B53" s="6">
        <v>13.0</v>
      </c>
      <c r="C53" s="6" t="s">
        <v>16</v>
      </c>
      <c r="D53" s="4" t="s">
        <v>15</v>
      </c>
      <c r="E53" s="5" t="str">
        <f t="shared" si="1"/>
        <v>NMin_1_P13_t1_B</v>
      </c>
      <c r="F53" s="4">
        <v>52.0</v>
      </c>
      <c r="G53" s="7">
        <v>45663.0</v>
      </c>
      <c r="H53" s="9">
        <v>10.8486</v>
      </c>
      <c r="I53" s="9">
        <v>6.0419</v>
      </c>
      <c r="J53" s="6">
        <v>22.13</v>
      </c>
      <c r="K53" s="10">
        <f t="shared" si="2"/>
        <v>0.1766116679</v>
      </c>
      <c r="L53" s="11"/>
    </row>
    <row r="54" ht="22.5" customHeight="1">
      <c r="A54" s="4" t="s">
        <v>12</v>
      </c>
      <c r="B54" s="6">
        <v>14.0</v>
      </c>
      <c r="C54" s="6" t="s">
        <v>13</v>
      </c>
      <c r="D54" s="4" t="s">
        <v>14</v>
      </c>
      <c r="E54" s="5" t="str">
        <f t="shared" si="1"/>
        <v>NMin_1_P14_t0_A</v>
      </c>
      <c r="F54" s="4">
        <v>53.0</v>
      </c>
      <c r="G54" s="7">
        <v>45663.0</v>
      </c>
      <c r="H54" s="9">
        <v>10.5889</v>
      </c>
      <c r="I54" s="9">
        <v>5.9863</v>
      </c>
      <c r="J54" s="6">
        <v>20.96</v>
      </c>
      <c r="K54" s="10">
        <f t="shared" si="2"/>
        <v>0.2345821925</v>
      </c>
      <c r="L54" s="11"/>
    </row>
    <row r="55" ht="22.5" customHeight="1">
      <c r="A55" s="4" t="s">
        <v>12</v>
      </c>
      <c r="B55" s="6">
        <v>14.0</v>
      </c>
      <c r="C55" s="6" t="s">
        <v>13</v>
      </c>
      <c r="D55" s="4" t="s">
        <v>15</v>
      </c>
      <c r="E55" s="5" t="str">
        <f t="shared" si="1"/>
        <v>NMin_1_P14_t0_B</v>
      </c>
      <c r="F55" s="4">
        <v>54.0</v>
      </c>
      <c r="G55" s="7">
        <v>45663.0</v>
      </c>
      <c r="H55" s="9">
        <v>10.704</v>
      </c>
      <c r="I55" s="9">
        <v>6.0964</v>
      </c>
      <c r="J55" s="6">
        <v>20.96</v>
      </c>
      <c r="K55" s="10">
        <f t="shared" si="2"/>
        <v>0.238896627</v>
      </c>
      <c r="L55" s="11"/>
    </row>
    <row r="56" ht="22.5" customHeight="1">
      <c r="A56" s="4" t="s">
        <v>12</v>
      </c>
      <c r="B56" s="6">
        <v>14.0</v>
      </c>
      <c r="C56" s="6" t="s">
        <v>16</v>
      </c>
      <c r="D56" s="4" t="s">
        <v>14</v>
      </c>
      <c r="E56" s="5" t="str">
        <f t="shared" si="1"/>
        <v>NMin_1_P14_t1_A</v>
      </c>
      <c r="F56" s="4">
        <v>55.0</v>
      </c>
      <c r="G56" s="7">
        <v>45663.0</v>
      </c>
      <c r="H56" s="9">
        <v>10.4677</v>
      </c>
      <c r="I56" s="9">
        <v>6.2181</v>
      </c>
      <c r="J56" s="6">
        <v>20.96</v>
      </c>
      <c r="K56" s="10">
        <f t="shared" si="2"/>
        <v>0.243665625</v>
      </c>
      <c r="L56" s="11"/>
    </row>
    <row r="57" ht="22.5" customHeight="1">
      <c r="A57" s="4" t="s">
        <v>12</v>
      </c>
      <c r="B57" s="6">
        <v>14.0</v>
      </c>
      <c r="C57" s="6" t="s">
        <v>16</v>
      </c>
      <c r="D57" s="4" t="s">
        <v>15</v>
      </c>
      <c r="E57" s="5" t="str">
        <f t="shared" si="1"/>
        <v>NMin_1_P14_t1_B</v>
      </c>
      <c r="F57" s="4">
        <v>56.0</v>
      </c>
      <c r="G57" s="7">
        <v>45663.0</v>
      </c>
      <c r="H57" s="9">
        <v>10.2801</v>
      </c>
      <c r="I57" s="9">
        <v>6.5166</v>
      </c>
      <c r="J57" s="6">
        <v>20.96</v>
      </c>
      <c r="K57" s="10">
        <f t="shared" si="2"/>
        <v>0.2553627976</v>
      </c>
      <c r="L57" s="11"/>
    </row>
    <row r="58" ht="22.5" customHeight="1">
      <c r="A58" s="4" t="s">
        <v>12</v>
      </c>
      <c r="B58" s="6">
        <v>15.0</v>
      </c>
      <c r="C58" s="6" t="s">
        <v>13</v>
      </c>
      <c r="D58" s="4" t="s">
        <v>14</v>
      </c>
      <c r="E58" s="5" t="str">
        <f t="shared" si="1"/>
        <v>NMin_1_P15_t0_A</v>
      </c>
      <c r="F58" s="4">
        <v>57.0</v>
      </c>
      <c r="G58" s="7">
        <v>45663.0</v>
      </c>
      <c r="H58" s="9">
        <v>10.5195</v>
      </c>
      <c r="I58" s="9">
        <v>7.2123</v>
      </c>
      <c r="J58" s="6">
        <v>20.549999999999997</v>
      </c>
      <c r="K58" s="10">
        <f t="shared" si="2"/>
        <v>0.3081156781</v>
      </c>
      <c r="L58" s="11"/>
    </row>
    <row r="59" ht="22.5" customHeight="1">
      <c r="A59" s="4" t="s">
        <v>12</v>
      </c>
      <c r="B59" s="6">
        <v>15.0</v>
      </c>
      <c r="C59" s="6" t="s">
        <v>13</v>
      </c>
      <c r="D59" s="4" t="s">
        <v>15</v>
      </c>
      <c r="E59" s="5" t="str">
        <f t="shared" si="1"/>
        <v>NMin_1_P15_t0_B</v>
      </c>
      <c r="F59" s="4">
        <v>58.0</v>
      </c>
      <c r="G59" s="7">
        <v>45663.0</v>
      </c>
      <c r="H59" s="9">
        <v>10.6771</v>
      </c>
      <c r="I59" s="9">
        <v>6.7609</v>
      </c>
      <c r="J59" s="6">
        <v>20.549999999999997</v>
      </c>
      <c r="K59" s="10">
        <f t="shared" si="2"/>
        <v>0.2888314807</v>
      </c>
      <c r="L59" s="11"/>
    </row>
    <row r="60" ht="22.5" customHeight="1">
      <c r="A60" s="4" t="s">
        <v>12</v>
      </c>
      <c r="B60" s="6">
        <v>15.0</v>
      </c>
      <c r="C60" s="6" t="s">
        <v>16</v>
      </c>
      <c r="D60" s="4" t="s">
        <v>14</v>
      </c>
      <c r="E60" s="5" t="str">
        <f t="shared" si="1"/>
        <v>NMin_1_P15_t1_A</v>
      </c>
      <c r="F60" s="4">
        <v>59.0</v>
      </c>
      <c r="G60" s="7">
        <v>45663.0</v>
      </c>
      <c r="H60" s="9">
        <v>10.677</v>
      </c>
      <c r="I60" s="9">
        <v>6.5587</v>
      </c>
      <c r="J60" s="6">
        <v>20.549999999999997</v>
      </c>
      <c r="K60" s="10">
        <f t="shared" si="2"/>
        <v>0.2801933223</v>
      </c>
      <c r="L60" s="11"/>
    </row>
    <row r="61" ht="22.5" customHeight="1">
      <c r="A61" s="4" t="s">
        <v>12</v>
      </c>
      <c r="B61" s="6">
        <v>15.0</v>
      </c>
      <c r="C61" s="6" t="s">
        <v>16</v>
      </c>
      <c r="D61" s="4" t="s">
        <v>15</v>
      </c>
      <c r="E61" s="5" t="str">
        <f t="shared" si="1"/>
        <v>NMin_1_P15_t1_B</v>
      </c>
      <c r="F61" s="4">
        <v>60.0</v>
      </c>
      <c r="G61" s="7">
        <v>45663.0</v>
      </c>
      <c r="H61" s="9">
        <v>10.5743</v>
      </c>
      <c r="I61" s="9">
        <v>6.3466</v>
      </c>
      <c r="J61" s="6">
        <v>20.549999999999997</v>
      </c>
      <c r="K61" s="10">
        <f t="shared" si="2"/>
        <v>0.2711322273</v>
      </c>
      <c r="L61" s="11"/>
    </row>
  </sheetData>
  <dataValidations>
    <dataValidation type="custom" allowBlank="1" showDropDown="1" sqref="G2:G61">
      <formula1>OR(NOT(ISERROR(DATEVALUE(G2))), AND(ISNUMBER(G2), LEFT(CELL("format", G2))="D"))</formula1>
    </dataValidation>
    <dataValidation type="custom" allowBlank="1" showDropDown="1" sqref="B2:B61 J2:K6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