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Sheet1!$A$1:$N$61</definedName>
  </definedNames>
  <calcPr/>
</workbook>
</file>

<file path=xl/sharedStrings.xml><?xml version="1.0" encoding="utf-8"?>
<sst xmlns="http://schemas.openxmlformats.org/spreadsheetml/2006/main" count="134" uniqueCount="18">
  <si>
    <t>Sampling_Date</t>
  </si>
  <si>
    <t>Plot</t>
  </si>
  <si>
    <t>Timepoint</t>
  </si>
  <si>
    <t>Replicate</t>
  </si>
  <si>
    <t>Sample_ID</t>
  </si>
  <si>
    <t>Lab_No</t>
  </si>
  <si>
    <t>Date_Weighed</t>
  </si>
  <si>
    <t>Mass_Tube_g</t>
  </si>
  <si>
    <t>Mass_Soil_g</t>
  </si>
  <si>
    <t>GWC</t>
  </si>
  <si>
    <t>Target_Mass_Water_To_Add_g</t>
  </si>
  <si>
    <t>Mass_Water_Added_g</t>
  </si>
  <si>
    <t>Label - Sample</t>
  </si>
  <si>
    <t>Label - Reserve</t>
  </si>
  <si>
    <t>t0</t>
  </si>
  <si>
    <t>A</t>
  </si>
  <si>
    <t>B</t>
  </si>
  <si>
    <t>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</si>
</sst>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61" displayName="Table1" name="Table1" id="1">
  <autoFilter ref="$A$1:$N$61"/>
  <tableColumns count="14">
    <tableColumn name="Sampling_Date" id="1"/>
    <tableColumn name="Plot" id="2"/>
    <tableColumn name="Timepoint" id="3"/>
    <tableColumn name="Replicate" id="4"/>
    <tableColumn name="Sample_ID" id="5"/>
    <tableColumn name="Lab_No" id="6"/>
    <tableColumn name="Date_Weighed" id="7"/>
    <tableColumn name="Mass_Tube_g" id="8"/>
    <tableColumn name="Mass_Soil_g" id="9"/>
    <tableColumn name="GWC" id="10"/>
    <tableColumn name="Target_Mass_Water_To_Add_g" id="11"/>
    <tableColumn name="Mass_Water_Added_g" id="12"/>
    <tableColumn name="Label - Sample" id="13"/>
    <tableColumn name="Label - Reserve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1.75"/>
    <col customWidth="1" min="3" max="3" width="13.0"/>
    <col customWidth="1" min="4" max="4" width="12.38"/>
    <col customWidth="1" min="5" max="5" width="15.63"/>
    <col customWidth="1" min="6" max="6" width="11.13"/>
    <col customWidth="1" min="7" max="7" width="19.38"/>
    <col customWidth="1" min="8" max="8" width="15.63"/>
    <col customWidth="1" min="9" max="9" width="14.75"/>
    <col customWidth="1" min="10" max="10" width="12.5"/>
    <col customWidth="1" min="11" max="11" width="31.38"/>
    <col customWidth="1" min="12" max="12" width="22.75"/>
    <col customWidth="1" min="13" max="14" width="2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ht="22.5" customHeight="1">
      <c r="A2" s="5"/>
      <c r="B2" s="6">
        <v>1.0</v>
      </c>
      <c r="C2" s="7" t="s">
        <v>14</v>
      </c>
      <c r="D2" s="5" t="s">
        <v>15</v>
      </c>
      <c r="E2" s="6" t="str">
        <f t="shared" ref="E2:E61" si="1">"NMin_3_P"&amp;B2&amp;"_"&amp;C2&amp;"_"&amp;D2</f>
        <v>NMin_3_P1_t0_A</v>
      </c>
      <c r="F2" s="8">
        <v>181.0</v>
      </c>
      <c r="G2" s="9">
        <v>45944.0</v>
      </c>
      <c r="H2" s="10">
        <v>10.076</v>
      </c>
      <c r="I2" s="8">
        <v>7.0278</v>
      </c>
      <c r="J2" s="7">
        <f t="shared" ref="J2:J61" si="2">sum(H2:I2)</f>
        <v>17.1038</v>
      </c>
      <c r="K2" s="11"/>
      <c r="L2" s="12"/>
      <c r="M2" s="13" t="str">
        <f t="shared" ref="M2:M61" si="3">"Bradford/JDG - 2025 GHG Exp"&amp;CHAR(10)&amp;"NMin "&amp;C2&amp;" (Sample)"&amp;CHAR(10)&amp;"Lab No: "&amp;F2&amp;" -- ID:"&amp;E2</f>
        <v>Bradford/JDG - 2025 GHG Exp
NMin t0 (Sample)
Lab No: 181 -- ID:NMin_3_P1_t0_A</v>
      </c>
      <c r="N2" s="14" t="str">
        <f t="shared" ref="N2:N61" si="4">"Bradford/JDG - 2025 GHG Exp"&amp;CHAR(10)&amp;"NMin "&amp;C2&amp;" (Reserve)"&amp;CHAR(10)&amp;"Lab No: "&amp;F2&amp;" -- ID:"&amp;E2</f>
        <v>Bradford/JDG - 2025 GHG Exp
NMin t0 (Reserve)
Lab No: 181 -- ID:NMin_3_P1_t0_A</v>
      </c>
    </row>
    <row r="3" ht="22.5" customHeight="1">
      <c r="A3" s="5"/>
      <c r="B3" s="6">
        <v>1.0</v>
      </c>
      <c r="C3" s="7" t="s">
        <v>14</v>
      </c>
      <c r="D3" s="5" t="s">
        <v>16</v>
      </c>
      <c r="E3" s="6" t="str">
        <f t="shared" si="1"/>
        <v>NMin_3_P1_t0_B</v>
      </c>
      <c r="F3" s="8">
        <v>182.0</v>
      </c>
      <c r="G3" s="9">
        <v>45944.0</v>
      </c>
      <c r="H3" s="10">
        <v>10.2401</v>
      </c>
      <c r="I3" s="8">
        <v>7.1055</v>
      </c>
      <c r="J3" s="7">
        <f t="shared" si="2"/>
        <v>17.3456</v>
      </c>
      <c r="K3" s="11"/>
      <c r="L3" s="12"/>
      <c r="M3" s="15" t="str">
        <f t="shared" si="3"/>
        <v>Bradford/JDG - 2025 GHG Exp
NMin t0 (Sample)
Lab No: 182 -- ID:NMin_3_P1_t0_B</v>
      </c>
      <c r="N3" s="16" t="str">
        <f t="shared" si="4"/>
        <v>Bradford/JDG - 2025 GHG Exp
NMin t0 (Reserve)
Lab No: 182 -- ID:NMin_3_P1_t0_B</v>
      </c>
    </row>
    <row r="4" ht="22.5" customHeight="1">
      <c r="A4" s="5"/>
      <c r="B4" s="7">
        <v>1.0</v>
      </c>
      <c r="C4" s="7" t="s">
        <v>17</v>
      </c>
      <c r="D4" s="5" t="s">
        <v>15</v>
      </c>
      <c r="E4" s="6" t="str">
        <f t="shared" si="1"/>
        <v>NMin_3_P1_t1_A</v>
      </c>
      <c r="F4" s="8">
        <v>183.0</v>
      </c>
      <c r="G4" s="9">
        <v>45944.0</v>
      </c>
      <c r="H4" s="10">
        <v>10.1651</v>
      </c>
      <c r="I4" s="8">
        <v>7.1798</v>
      </c>
      <c r="J4" s="7">
        <f t="shared" si="2"/>
        <v>17.3449</v>
      </c>
      <c r="K4" s="11"/>
      <c r="L4" s="12"/>
      <c r="M4" s="13" t="str">
        <f t="shared" si="3"/>
        <v>Bradford/JDG - 2025 GHG Exp
NMin t1 (Sample)
Lab No: 183 -- ID:NMin_3_P1_t1_A</v>
      </c>
      <c r="N4" s="14" t="str">
        <f t="shared" si="4"/>
        <v>Bradford/JDG - 2025 GHG Exp
NMin t1 (Reserve)
Lab No: 183 -- ID:NMin_3_P1_t1_A</v>
      </c>
    </row>
    <row r="5" ht="22.5" customHeight="1">
      <c r="A5" s="5"/>
      <c r="B5" s="7">
        <v>1.0</v>
      </c>
      <c r="C5" s="7" t="s">
        <v>17</v>
      </c>
      <c r="D5" s="5" t="s">
        <v>16</v>
      </c>
      <c r="E5" s="6" t="str">
        <f t="shared" si="1"/>
        <v>NMin_3_P1_t1_B</v>
      </c>
      <c r="F5" s="8">
        <v>184.0</v>
      </c>
      <c r="G5" s="9">
        <v>45944.0</v>
      </c>
      <c r="H5" s="10">
        <v>10.0842</v>
      </c>
      <c r="I5" s="8">
        <v>7.0865</v>
      </c>
      <c r="J5" s="7">
        <f t="shared" si="2"/>
        <v>17.1707</v>
      </c>
      <c r="K5" s="11"/>
      <c r="L5" s="12"/>
      <c r="M5" s="15" t="str">
        <f t="shared" si="3"/>
        <v>Bradford/JDG - 2025 GHG Exp
NMin t1 (Sample)
Lab No: 184 -- ID:NMin_3_P1_t1_B</v>
      </c>
      <c r="N5" s="16" t="str">
        <f t="shared" si="4"/>
        <v>Bradford/JDG - 2025 GHG Exp
NMin t1 (Reserve)
Lab No: 184 -- ID:NMin_3_P1_t1_B</v>
      </c>
    </row>
    <row r="6" ht="22.5" customHeight="1">
      <c r="A6" s="5"/>
      <c r="B6" s="7">
        <v>2.0</v>
      </c>
      <c r="C6" s="7" t="s">
        <v>14</v>
      </c>
      <c r="D6" s="5" t="s">
        <v>15</v>
      </c>
      <c r="E6" s="6" t="str">
        <f t="shared" si="1"/>
        <v>NMin_3_P2_t0_A</v>
      </c>
      <c r="F6" s="8">
        <v>185.0</v>
      </c>
      <c r="G6" s="9">
        <v>45944.0</v>
      </c>
      <c r="H6" s="10">
        <v>10.0621</v>
      </c>
      <c r="I6" s="8">
        <v>7.4526</v>
      </c>
      <c r="J6" s="7">
        <f t="shared" si="2"/>
        <v>17.5147</v>
      </c>
      <c r="K6" s="11"/>
      <c r="L6" s="12"/>
      <c r="M6" s="13" t="str">
        <f t="shared" si="3"/>
        <v>Bradford/JDG - 2025 GHG Exp
NMin t0 (Sample)
Lab No: 185 -- ID:NMin_3_P2_t0_A</v>
      </c>
      <c r="N6" s="14" t="str">
        <f t="shared" si="4"/>
        <v>Bradford/JDG - 2025 GHG Exp
NMin t0 (Reserve)
Lab No: 185 -- ID:NMin_3_P2_t0_A</v>
      </c>
    </row>
    <row r="7" ht="22.5" customHeight="1">
      <c r="A7" s="5"/>
      <c r="B7" s="7">
        <v>2.0</v>
      </c>
      <c r="C7" s="7" t="s">
        <v>14</v>
      </c>
      <c r="D7" s="5" t="s">
        <v>16</v>
      </c>
      <c r="E7" s="6" t="str">
        <f t="shared" si="1"/>
        <v>NMin_3_P2_t0_B</v>
      </c>
      <c r="F7" s="8">
        <v>186.0</v>
      </c>
      <c r="G7" s="9">
        <v>45944.0</v>
      </c>
      <c r="H7" s="10">
        <v>10.1065</v>
      </c>
      <c r="I7" s="8">
        <v>7.5116</v>
      </c>
      <c r="J7" s="7">
        <f t="shared" si="2"/>
        <v>17.6181</v>
      </c>
      <c r="K7" s="11"/>
      <c r="L7" s="12"/>
      <c r="M7" s="15" t="str">
        <f t="shared" si="3"/>
        <v>Bradford/JDG - 2025 GHG Exp
NMin t0 (Sample)
Lab No: 186 -- ID:NMin_3_P2_t0_B</v>
      </c>
      <c r="N7" s="16" t="str">
        <f t="shared" si="4"/>
        <v>Bradford/JDG - 2025 GHG Exp
NMin t0 (Reserve)
Lab No: 186 -- ID:NMin_3_P2_t0_B</v>
      </c>
    </row>
    <row r="8" ht="22.5" customHeight="1">
      <c r="A8" s="5"/>
      <c r="B8" s="7">
        <v>2.0</v>
      </c>
      <c r="C8" s="7" t="s">
        <v>17</v>
      </c>
      <c r="D8" s="5" t="s">
        <v>15</v>
      </c>
      <c r="E8" s="6" t="str">
        <f t="shared" si="1"/>
        <v>NMin_3_P2_t1_A</v>
      </c>
      <c r="F8" s="8">
        <v>187.0</v>
      </c>
      <c r="G8" s="9">
        <v>45944.0</v>
      </c>
      <c r="H8" s="10">
        <v>10.1508</v>
      </c>
      <c r="I8" s="8">
        <v>7.4508</v>
      </c>
      <c r="J8" s="7">
        <f t="shared" si="2"/>
        <v>17.6016</v>
      </c>
      <c r="K8" s="11"/>
      <c r="L8" s="12"/>
      <c r="M8" s="13" t="str">
        <f t="shared" si="3"/>
        <v>Bradford/JDG - 2025 GHG Exp
NMin t1 (Sample)
Lab No: 187 -- ID:NMin_3_P2_t1_A</v>
      </c>
      <c r="N8" s="14" t="str">
        <f t="shared" si="4"/>
        <v>Bradford/JDG - 2025 GHG Exp
NMin t1 (Reserve)
Lab No: 187 -- ID:NMin_3_P2_t1_A</v>
      </c>
    </row>
    <row r="9" ht="22.5" customHeight="1">
      <c r="A9" s="5"/>
      <c r="B9" s="7">
        <v>2.0</v>
      </c>
      <c r="C9" s="7" t="s">
        <v>17</v>
      </c>
      <c r="D9" s="5" t="s">
        <v>16</v>
      </c>
      <c r="E9" s="6" t="str">
        <f t="shared" si="1"/>
        <v>NMin_3_P2_t1_B</v>
      </c>
      <c r="F9" s="8">
        <v>188.0</v>
      </c>
      <c r="G9" s="9">
        <v>45944.0</v>
      </c>
      <c r="H9" s="10">
        <v>10.2554</v>
      </c>
      <c r="I9" s="8">
        <v>7.2609</v>
      </c>
      <c r="J9" s="7">
        <f t="shared" si="2"/>
        <v>17.5163</v>
      </c>
      <c r="K9" s="11"/>
      <c r="L9" s="12"/>
      <c r="M9" s="15" t="str">
        <f t="shared" si="3"/>
        <v>Bradford/JDG - 2025 GHG Exp
NMin t1 (Sample)
Lab No: 188 -- ID:NMin_3_P2_t1_B</v>
      </c>
      <c r="N9" s="16" t="str">
        <f t="shared" si="4"/>
        <v>Bradford/JDG - 2025 GHG Exp
NMin t1 (Reserve)
Lab No: 188 -- ID:NMin_3_P2_t1_B</v>
      </c>
    </row>
    <row r="10" ht="22.5" customHeight="1">
      <c r="A10" s="5"/>
      <c r="B10" s="7">
        <v>3.0</v>
      </c>
      <c r="C10" s="7" t="s">
        <v>14</v>
      </c>
      <c r="D10" s="5" t="s">
        <v>15</v>
      </c>
      <c r="E10" s="6" t="str">
        <f t="shared" si="1"/>
        <v>NMin_3_P3_t0_A</v>
      </c>
      <c r="F10" s="8">
        <v>189.0</v>
      </c>
      <c r="G10" s="9">
        <v>45944.0</v>
      </c>
      <c r="H10" s="10">
        <v>10.0856</v>
      </c>
      <c r="I10" s="8">
        <v>7.3113</v>
      </c>
      <c r="J10" s="7">
        <f t="shared" si="2"/>
        <v>17.3969</v>
      </c>
      <c r="K10" s="11"/>
      <c r="L10" s="12"/>
      <c r="M10" s="13" t="str">
        <f t="shared" si="3"/>
        <v>Bradford/JDG - 2025 GHG Exp
NMin t0 (Sample)
Lab No: 189 -- ID:NMin_3_P3_t0_A</v>
      </c>
      <c r="N10" s="14" t="str">
        <f t="shared" si="4"/>
        <v>Bradford/JDG - 2025 GHG Exp
NMin t0 (Reserve)
Lab No: 189 -- ID:NMin_3_P3_t0_A</v>
      </c>
    </row>
    <row r="11" ht="22.5" customHeight="1">
      <c r="A11" s="5"/>
      <c r="B11" s="7">
        <v>3.0</v>
      </c>
      <c r="C11" s="7" t="s">
        <v>14</v>
      </c>
      <c r="D11" s="5" t="s">
        <v>16</v>
      </c>
      <c r="E11" s="6" t="str">
        <f t="shared" si="1"/>
        <v>NMin_3_P3_t0_B</v>
      </c>
      <c r="F11" s="8">
        <v>190.0</v>
      </c>
      <c r="G11" s="9">
        <v>45944.0</v>
      </c>
      <c r="H11" s="10">
        <v>10.0291</v>
      </c>
      <c r="I11" s="8">
        <v>7.1009</v>
      </c>
      <c r="J11" s="7">
        <f t="shared" si="2"/>
        <v>17.13</v>
      </c>
      <c r="K11" s="11"/>
      <c r="L11" s="12"/>
      <c r="M11" s="15" t="str">
        <f t="shared" si="3"/>
        <v>Bradford/JDG - 2025 GHG Exp
NMin t0 (Sample)
Lab No: 190 -- ID:NMin_3_P3_t0_B</v>
      </c>
      <c r="N11" s="16" t="str">
        <f t="shared" si="4"/>
        <v>Bradford/JDG - 2025 GHG Exp
NMin t0 (Reserve)
Lab No: 190 -- ID:NMin_3_P3_t0_B</v>
      </c>
    </row>
    <row r="12" ht="22.5" customHeight="1">
      <c r="A12" s="5"/>
      <c r="B12" s="7">
        <v>3.0</v>
      </c>
      <c r="C12" s="7" t="s">
        <v>17</v>
      </c>
      <c r="D12" s="5" t="s">
        <v>15</v>
      </c>
      <c r="E12" s="6" t="str">
        <f t="shared" si="1"/>
        <v>NMin_3_P3_t1_A</v>
      </c>
      <c r="F12" s="8">
        <v>191.0</v>
      </c>
      <c r="G12" s="9">
        <v>45944.0</v>
      </c>
      <c r="H12" s="10">
        <v>9.9248</v>
      </c>
      <c r="I12" s="8">
        <v>7.1463</v>
      </c>
      <c r="J12" s="7">
        <f t="shared" si="2"/>
        <v>17.0711</v>
      </c>
      <c r="K12" s="11"/>
      <c r="L12" s="12"/>
      <c r="M12" s="13" t="str">
        <f t="shared" si="3"/>
        <v>Bradford/JDG - 2025 GHG Exp
NMin t1 (Sample)
Lab No: 191 -- ID:NMin_3_P3_t1_A</v>
      </c>
      <c r="N12" s="14" t="str">
        <f t="shared" si="4"/>
        <v>Bradford/JDG - 2025 GHG Exp
NMin t1 (Reserve)
Lab No: 191 -- ID:NMin_3_P3_t1_A</v>
      </c>
    </row>
    <row r="13" ht="22.5" customHeight="1">
      <c r="A13" s="5"/>
      <c r="B13" s="7">
        <v>3.0</v>
      </c>
      <c r="C13" s="7" t="s">
        <v>17</v>
      </c>
      <c r="D13" s="5" t="s">
        <v>16</v>
      </c>
      <c r="E13" s="6" t="str">
        <f t="shared" si="1"/>
        <v>NMin_3_P3_t1_B</v>
      </c>
      <c r="F13" s="8">
        <v>192.0</v>
      </c>
      <c r="G13" s="9">
        <v>45944.0</v>
      </c>
      <c r="H13" s="10">
        <v>10.01</v>
      </c>
      <c r="I13" s="8">
        <v>7.3552</v>
      </c>
      <c r="J13" s="7">
        <f t="shared" si="2"/>
        <v>17.3652</v>
      </c>
      <c r="K13" s="11"/>
      <c r="L13" s="12"/>
      <c r="M13" s="15" t="str">
        <f t="shared" si="3"/>
        <v>Bradford/JDG - 2025 GHG Exp
NMin t1 (Sample)
Lab No: 192 -- ID:NMin_3_P3_t1_B</v>
      </c>
      <c r="N13" s="16" t="str">
        <f t="shared" si="4"/>
        <v>Bradford/JDG - 2025 GHG Exp
NMin t1 (Reserve)
Lab No: 192 -- ID:NMin_3_P3_t1_B</v>
      </c>
    </row>
    <row r="14" ht="22.5" customHeight="1">
      <c r="A14" s="5"/>
      <c r="B14" s="7">
        <v>4.0</v>
      </c>
      <c r="C14" s="7" t="s">
        <v>14</v>
      </c>
      <c r="D14" s="5" t="s">
        <v>15</v>
      </c>
      <c r="E14" s="6" t="str">
        <f t="shared" si="1"/>
        <v>NMin_3_P4_t0_A</v>
      </c>
      <c r="F14" s="8">
        <v>193.0</v>
      </c>
      <c r="G14" s="9">
        <v>45944.0</v>
      </c>
      <c r="H14" s="8">
        <v>10.0655</v>
      </c>
      <c r="I14" s="8">
        <v>7.1612</v>
      </c>
      <c r="J14" s="7">
        <f t="shared" si="2"/>
        <v>17.2267</v>
      </c>
      <c r="K14" s="11"/>
      <c r="L14" s="12"/>
      <c r="M14" s="13" t="str">
        <f t="shared" si="3"/>
        <v>Bradford/JDG - 2025 GHG Exp
NMin t0 (Sample)
Lab No: 193 -- ID:NMin_3_P4_t0_A</v>
      </c>
      <c r="N14" s="14" t="str">
        <f t="shared" si="4"/>
        <v>Bradford/JDG - 2025 GHG Exp
NMin t0 (Reserve)
Lab No: 193 -- ID:NMin_3_P4_t0_A</v>
      </c>
    </row>
    <row r="15" ht="22.5" customHeight="1">
      <c r="A15" s="5"/>
      <c r="B15" s="7">
        <v>4.0</v>
      </c>
      <c r="C15" s="7" t="s">
        <v>14</v>
      </c>
      <c r="D15" s="5" t="s">
        <v>16</v>
      </c>
      <c r="E15" s="6" t="str">
        <f t="shared" si="1"/>
        <v>NMin_3_P4_t0_B</v>
      </c>
      <c r="F15" s="8">
        <v>194.0</v>
      </c>
      <c r="G15" s="9">
        <v>45944.0</v>
      </c>
      <c r="H15" s="8">
        <v>10.0999</v>
      </c>
      <c r="I15" s="8">
        <v>7.3109</v>
      </c>
      <c r="J15" s="7">
        <f t="shared" si="2"/>
        <v>17.4108</v>
      </c>
      <c r="K15" s="11"/>
      <c r="L15" s="12"/>
      <c r="M15" s="15" t="str">
        <f t="shared" si="3"/>
        <v>Bradford/JDG - 2025 GHG Exp
NMin t0 (Sample)
Lab No: 194 -- ID:NMin_3_P4_t0_B</v>
      </c>
      <c r="N15" s="16" t="str">
        <f t="shared" si="4"/>
        <v>Bradford/JDG - 2025 GHG Exp
NMin t0 (Reserve)
Lab No: 194 -- ID:NMin_3_P4_t0_B</v>
      </c>
    </row>
    <row r="16" ht="22.5" customHeight="1">
      <c r="A16" s="5"/>
      <c r="B16" s="7">
        <v>4.0</v>
      </c>
      <c r="C16" s="7" t="s">
        <v>17</v>
      </c>
      <c r="D16" s="5" t="s">
        <v>15</v>
      </c>
      <c r="E16" s="6" t="str">
        <f t="shared" si="1"/>
        <v>NMin_3_P4_t1_A</v>
      </c>
      <c r="F16" s="8">
        <v>195.0</v>
      </c>
      <c r="G16" s="9">
        <v>45944.0</v>
      </c>
      <c r="H16" s="8">
        <v>10.0285</v>
      </c>
      <c r="I16" s="8">
        <v>7.3445</v>
      </c>
      <c r="J16" s="7">
        <f t="shared" si="2"/>
        <v>17.373</v>
      </c>
      <c r="K16" s="11"/>
      <c r="L16" s="12"/>
      <c r="M16" s="13" t="str">
        <f t="shared" si="3"/>
        <v>Bradford/JDG - 2025 GHG Exp
NMin t1 (Sample)
Lab No: 195 -- ID:NMin_3_P4_t1_A</v>
      </c>
      <c r="N16" s="14" t="str">
        <f t="shared" si="4"/>
        <v>Bradford/JDG - 2025 GHG Exp
NMin t1 (Reserve)
Lab No: 195 -- ID:NMin_3_P4_t1_A</v>
      </c>
    </row>
    <row r="17" ht="22.5" customHeight="1">
      <c r="A17" s="5"/>
      <c r="B17" s="7">
        <v>4.0</v>
      </c>
      <c r="C17" s="7" t="s">
        <v>17</v>
      </c>
      <c r="D17" s="5" t="s">
        <v>16</v>
      </c>
      <c r="E17" s="6" t="str">
        <f t="shared" si="1"/>
        <v>NMin_3_P4_t1_B</v>
      </c>
      <c r="F17" s="8">
        <v>196.0</v>
      </c>
      <c r="G17" s="9">
        <v>45944.0</v>
      </c>
      <c r="H17" s="8">
        <v>10.1324</v>
      </c>
      <c r="I17" s="8">
        <v>7.3781</v>
      </c>
      <c r="J17" s="7">
        <f t="shared" si="2"/>
        <v>17.5105</v>
      </c>
      <c r="K17" s="11"/>
      <c r="L17" s="12"/>
      <c r="M17" s="15" t="str">
        <f t="shared" si="3"/>
        <v>Bradford/JDG - 2025 GHG Exp
NMin t1 (Sample)
Lab No: 196 -- ID:NMin_3_P4_t1_B</v>
      </c>
      <c r="N17" s="16" t="str">
        <f t="shared" si="4"/>
        <v>Bradford/JDG - 2025 GHG Exp
NMin t1 (Reserve)
Lab No: 196 -- ID:NMin_3_P4_t1_B</v>
      </c>
    </row>
    <row r="18" ht="22.5" customHeight="1">
      <c r="A18" s="5"/>
      <c r="B18" s="7">
        <v>5.0</v>
      </c>
      <c r="C18" s="7" t="s">
        <v>14</v>
      </c>
      <c r="D18" s="5" t="s">
        <v>15</v>
      </c>
      <c r="E18" s="6" t="str">
        <f t="shared" si="1"/>
        <v>NMin_3_P5_t0_A</v>
      </c>
      <c r="F18" s="8">
        <v>197.0</v>
      </c>
      <c r="G18" s="9">
        <v>45944.0</v>
      </c>
      <c r="H18" s="8">
        <v>10.0917</v>
      </c>
      <c r="I18" s="8">
        <v>7.2858</v>
      </c>
      <c r="J18" s="7">
        <f t="shared" si="2"/>
        <v>17.3775</v>
      </c>
      <c r="K18" s="11"/>
      <c r="L18" s="12"/>
      <c r="M18" s="13" t="str">
        <f t="shared" si="3"/>
        <v>Bradford/JDG - 2025 GHG Exp
NMin t0 (Sample)
Lab No: 197 -- ID:NMin_3_P5_t0_A</v>
      </c>
      <c r="N18" s="14" t="str">
        <f t="shared" si="4"/>
        <v>Bradford/JDG - 2025 GHG Exp
NMin t0 (Reserve)
Lab No: 197 -- ID:NMin_3_P5_t0_A</v>
      </c>
    </row>
    <row r="19" ht="22.5" customHeight="1">
      <c r="A19" s="5"/>
      <c r="B19" s="7">
        <v>5.0</v>
      </c>
      <c r="C19" s="7" t="s">
        <v>14</v>
      </c>
      <c r="D19" s="5" t="s">
        <v>16</v>
      </c>
      <c r="E19" s="6" t="str">
        <f t="shared" si="1"/>
        <v>NMin_3_P5_t0_B</v>
      </c>
      <c r="F19" s="8">
        <v>198.0</v>
      </c>
      <c r="G19" s="9">
        <v>45944.0</v>
      </c>
      <c r="H19" s="8">
        <v>9.8805</v>
      </c>
      <c r="I19" s="8">
        <v>7.3733</v>
      </c>
      <c r="J19" s="7">
        <f t="shared" si="2"/>
        <v>17.2538</v>
      </c>
      <c r="K19" s="11"/>
      <c r="L19" s="12"/>
      <c r="M19" s="15" t="str">
        <f t="shared" si="3"/>
        <v>Bradford/JDG - 2025 GHG Exp
NMin t0 (Sample)
Lab No: 198 -- ID:NMin_3_P5_t0_B</v>
      </c>
      <c r="N19" s="16" t="str">
        <f t="shared" si="4"/>
        <v>Bradford/JDG - 2025 GHG Exp
NMin t0 (Reserve)
Lab No: 198 -- ID:NMin_3_P5_t0_B</v>
      </c>
    </row>
    <row r="20" ht="22.5" customHeight="1">
      <c r="A20" s="5"/>
      <c r="B20" s="7">
        <v>5.0</v>
      </c>
      <c r="C20" s="7" t="s">
        <v>17</v>
      </c>
      <c r="D20" s="5" t="s">
        <v>15</v>
      </c>
      <c r="E20" s="6" t="str">
        <f t="shared" si="1"/>
        <v>NMin_3_P5_t1_A</v>
      </c>
      <c r="F20" s="8">
        <v>199.0</v>
      </c>
      <c r="G20" s="9">
        <v>45944.0</v>
      </c>
      <c r="H20" s="8">
        <v>9.9972</v>
      </c>
      <c r="I20" s="8">
        <v>7.2756</v>
      </c>
      <c r="J20" s="7">
        <f t="shared" si="2"/>
        <v>17.2728</v>
      </c>
      <c r="K20" s="11"/>
      <c r="L20" s="12"/>
      <c r="M20" s="13" t="str">
        <f t="shared" si="3"/>
        <v>Bradford/JDG - 2025 GHG Exp
NMin t1 (Sample)
Lab No: 199 -- ID:NMin_3_P5_t1_A</v>
      </c>
      <c r="N20" s="14" t="str">
        <f t="shared" si="4"/>
        <v>Bradford/JDG - 2025 GHG Exp
NMin t1 (Reserve)
Lab No: 199 -- ID:NMin_3_P5_t1_A</v>
      </c>
    </row>
    <row r="21" ht="22.5" customHeight="1">
      <c r="A21" s="5"/>
      <c r="B21" s="7">
        <v>5.0</v>
      </c>
      <c r="C21" s="7" t="s">
        <v>17</v>
      </c>
      <c r="D21" s="5" t="s">
        <v>16</v>
      </c>
      <c r="E21" s="6" t="str">
        <f t="shared" si="1"/>
        <v>NMin_3_P5_t1_B</v>
      </c>
      <c r="F21" s="8">
        <v>200.0</v>
      </c>
      <c r="G21" s="9">
        <v>45944.0</v>
      </c>
      <c r="H21" s="8">
        <v>10.1677</v>
      </c>
      <c r="I21" s="8">
        <v>7.283</v>
      </c>
      <c r="J21" s="7">
        <f t="shared" si="2"/>
        <v>17.4507</v>
      </c>
      <c r="K21" s="11"/>
      <c r="L21" s="12"/>
      <c r="M21" s="15" t="str">
        <f t="shared" si="3"/>
        <v>Bradford/JDG - 2025 GHG Exp
NMin t1 (Sample)
Lab No: 200 -- ID:NMin_3_P5_t1_B</v>
      </c>
      <c r="N21" s="16" t="str">
        <f t="shared" si="4"/>
        <v>Bradford/JDG - 2025 GHG Exp
NMin t1 (Reserve)
Lab No: 200 -- ID:NMin_3_P5_t1_B</v>
      </c>
    </row>
    <row r="22" ht="22.5" customHeight="1">
      <c r="A22" s="5"/>
      <c r="B22" s="7">
        <v>6.0</v>
      </c>
      <c r="C22" s="7" t="s">
        <v>14</v>
      </c>
      <c r="D22" s="5" t="s">
        <v>15</v>
      </c>
      <c r="E22" s="6" t="str">
        <f t="shared" si="1"/>
        <v>NMin_3_P6_t0_A</v>
      </c>
      <c r="F22" s="8">
        <v>201.0</v>
      </c>
      <c r="G22" s="9">
        <v>45944.0</v>
      </c>
      <c r="H22" s="8">
        <v>10.2085</v>
      </c>
      <c r="I22" s="8">
        <v>7.1204</v>
      </c>
      <c r="J22" s="7">
        <f t="shared" si="2"/>
        <v>17.3289</v>
      </c>
      <c r="K22" s="11"/>
      <c r="L22" s="12"/>
      <c r="M22" s="13" t="str">
        <f t="shared" si="3"/>
        <v>Bradford/JDG - 2025 GHG Exp
NMin t0 (Sample)
Lab No: 201 -- ID:NMin_3_P6_t0_A</v>
      </c>
      <c r="N22" s="14" t="str">
        <f t="shared" si="4"/>
        <v>Bradford/JDG - 2025 GHG Exp
NMin t0 (Reserve)
Lab No: 201 -- ID:NMin_3_P6_t0_A</v>
      </c>
    </row>
    <row r="23" ht="22.5" customHeight="1">
      <c r="A23" s="5"/>
      <c r="B23" s="7">
        <v>6.0</v>
      </c>
      <c r="C23" s="7" t="s">
        <v>14</v>
      </c>
      <c r="D23" s="5" t="s">
        <v>16</v>
      </c>
      <c r="E23" s="6" t="str">
        <f t="shared" si="1"/>
        <v>NMin_3_P6_t0_B</v>
      </c>
      <c r="F23" s="8">
        <v>202.0</v>
      </c>
      <c r="G23" s="9">
        <v>45944.0</v>
      </c>
      <c r="H23" s="8">
        <v>10.0839</v>
      </c>
      <c r="I23" s="8">
        <v>7.2309</v>
      </c>
      <c r="J23" s="7">
        <f t="shared" si="2"/>
        <v>17.3148</v>
      </c>
      <c r="K23" s="11"/>
      <c r="L23" s="12"/>
      <c r="M23" s="15" t="str">
        <f t="shared" si="3"/>
        <v>Bradford/JDG - 2025 GHG Exp
NMin t0 (Sample)
Lab No: 202 -- ID:NMin_3_P6_t0_B</v>
      </c>
      <c r="N23" s="16" t="str">
        <f t="shared" si="4"/>
        <v>Bradford/JDG - 2025 GHG Exp
NMin t0 (Reserve)
Lab No: 202 -- ID:NMin_3_P6_t0_B</v>
      </c>
    </row>
    <row r="24" ht="22.5" customHeight="1">
      <c r="A24" s="5"/>
      <c r="B24" s="7">
        <v>6.0</v>
      </c>
      <c r="C24" s="7" t="s">
        <v>17</v>
      </c>
      <c r="D24" s="5" t="s">
        <v>15</v>
      </c>
      <c r="E24" s="6" t="str">
        <f t="shared" si="1"/>
        <v>NMin_3_P6_t1_A</v>
      </c>
      <c r="F24" s="8">
        <v>203.0</v>
      </c>
      <c r="G24" s="9">
        <v>45944.0</v>
      </c>
      <c r="H24" s="8">
        <v>10.0477</v>
      </c>
      <c r="I24" s="8">
        <v>7.0861</v>
      </c>
      <c r="J24" s="7">
        <f t="shared" si="2"/>
        <v>17.1338</v>
      </c>
      <c r="K24" s="11"/>
      <c r="L24" s="12"/>
      <c r="M24" s="13" t="str">
        <f t="shared" si="3"/>
        <v>Bradford/JDG - 2025 GHG Exp
NMin t1 (Sample)
Lab No: 203 -- ID:NMin_3_P6_t1_A</v>
      </c>
      <c r="N24" s="14" t="str">
        <f t="shared" si="4"/>
        <v>Bradford/JDG - 2025 GHG Exp
NMin t1 (Reserve)
Lab No: 203 -- ID:NMin_3_P6_t1_A</v>
      </c>
    </row>
    <row r="25" ht="22.5" customHeight="1">
      <c r="A25" s="5"/>
      <c r="B25" s="7">
        <v>6.0</v>
      </c>
      <c r="C25" s="7" t="s">
        <v>17</v>
      </c>
      <c r="D25" s="5" t="s">
        <v>16</v>
      </c>
      <c r="E25" s="6" t="str">
        <f t="shared" si="1"/>
        <v>NMin_3_P6_t1_B</v>
      </c>
      <c r="F25" s="8">
        <v>204.0</v>
      </c>
      <c r="G25" s="9">
        <v>45944.0</v>
      </c>
      <c r="H25" s="8">
        <v>10.144</v>
      </c>
      <c r="I25" s="8">
        <v>7.0121</v>
      </c>
      <c r="J25" s="7">
        <f t="shared" si="2"/>
        <v>17.1561</v>
      </c>
      <c r="K25" s="11"/>
      <c r="L25" s="12"/>
      <c r="M25" s="15" t="str">
        <f t="shared" si="3"/>
        <v>Bradford/JDG - 2025 GHG Exp
NMin t1 (Sample)
Lab No: 204 -- ID:NMin_3_P6_t1_B</v>
      </c>
      <c r="N25" s="16" t="str">
        <f t="shared" si="4"/>
        <v>Bradford/JDG - 2025 GHG Exp
NMin t1 (Reserve)
Lab No: 204 -- ID:NMin_3_P6_t1_B</v>
      </c>
    </row>
    <row r="26" ht="22.5" customHeight="1">
      <c r="A26" s="5"/>
      <c r="B26" s="7">
        <v>7.0</v>
      </c>
      <c r="C26" s="7" t="s">
        <v>14</v>
      </c>
      <c r="D26" s="5" t="s">
        <v>15</v>
      </c>
      <c r="E26" s="6" t="str">
        <f t="shared" si="1"/>
        <v>NMin_3_P7_t0_A</v>
      </c>
      <c r="F26" s="8">
        <v>205.0</v>
      </c>
      <c r="G26" s="9">
        <v>45944.0</v>
      </c>
      <c r="H26" s="8">
        <v>10.0101</v>
      </c>
      <c r="I26" s="8">
        <v>7.4015</v>
      </c>
      <c r="J26" s="7">
        <f t="shared" si="2"/>
        <v>17.4116</v>
      </c>
      <c r="K26" s="11"/>
      <c r="L26" s="12"/>
      <c r="M26" s="13" t="str">
        <f t="shared" si="3"/>
        <v>Bradford/JDG - 2025 GHG Exp
NMin t0 (Sample)
Lab No: 205 -- ID:NMin_3_P7_t0_A</v>
      </c>
      <c r="N26" s="14" t="str">
        <f t="shared" si="4"/>
        <v>Bradford/JDG - 2025 GHG Exp
NMin t0 (Reserve)
Lab No: 205 -- ID:NMin_3_P7_t0_A</v>
      </c>
    </row>
    <row r="27" ht="22.5" customHeight="1">
      <c r="A27" s="5"/>
      <c r="B27" s="7">
        <v>7.0</v>
      </c>
      <c r="C27" s="7" t="s">
        <v>14</v>
      </c>
      <c r="D27" s="5" t="s">
        <v>16</v>
      </c>
      <c r="E27" s="6" t="str">
        <f t="shared" si="1"/>
        <v>NMin_3_P7_t0_B</v>
      </c>
      <c r="F27" s="8">
        <v>206.0</v>
      </c>
      <c r="G27" s="9">
        <v>45944.0</v>
      </c>
      <c r="H27" s="8">
        <v>10.0855</v>
      </c>
      <c r="I27" s="8">
        <v>7.3251</v>
      </c>
      <c r="J27" s="7">
        <f t="shared" si="2"/>
        <v>17.4106</v>
      </c>
      <c r="K27" s="11"/>
      <c r="L27" s="12"/>
      <c r="M27" s="15" t="str">
        <f t="shared" si="3"/>
        <v>Bradford/JDG - 2025 GHG Exp
NMin t0 (Sample)
Lab No: 206 -- ID:NMin_3_P7_t0_B</v>
      </c>
      <c r="N27" s="16" t="str">
        <f t="shared" si="4"/>
        <v>Bradford/JDG - 2025 GHG Exp
NMin t0 (Reserve)
Lab No: 206 -- ID:NMin_3_P7_t0_B</v>
      </c>
    </row>
    <row r="28" ht="22.5" customHeight="1">
      <c r="A28" s="5"/>
      <c r="B28" s="7">
        <v>7.0</v>
      </c>
      <c r="C28" s="7" t="s">
        <v>17</v>
      </c>
      <c r="D28" s="5" t="s">
        <v>15</v>
      </c>
      <c r="E28" s="6" t="str">
        <f t="shared" si="1"/>
        <v>NMin_3_P7_t1_A</v>
      </c>
      <c r="F28" s="8">
        <v>207.0</v>
      </c>
      <c r="G28" s="9">
        <v>45944.0</v>
      </c>
      <c r="H28" s="8">
        <v>10.0261</v>
      </c>
      <c r="I28" s="8">
        <v>7.1269</v>
      </c>
      <c r="J28" s="7">
        <f t="shared" si="2"/>
        <v>17.153</v>
      </c>
      <c r="K28" s="11"/>
      <c r="L28" s="12"/>
      <c r="M28" s="13" t="str">
        <f t="shared" si="3"/>
        <v>Bradford/JDG - 2025 GHG Exp
NMin t1 (Sample)
Lab No: 207 -- ID:NMin_3_P7_t1_A</v>
      </c>
      <c r="N28" s="14" t="str">
        <f t="shared" si="4"/>
        <v>Bradford/JDG - 2025 GHG Exp
NMin t1 (Reserve)
Lab No: 207 -- ID:NMin_3_P7_t1_A</v>
      </c>
    </row>
    <row r="29" ht="22.5" customHeight="1">
      <c r="A29" s="5"/>
      <c r="B29" s="7">
        <v>7.0</v>
      </c>
      <c r="C29" s="7" t="s">
        <v>17</v>
      </c>
      <c r="D29" s="5" t="s">
        <v>16</v>
      </c>
      <c r="E29" s="6" t="str">
        <f t="shared" si="1"/>
        <v>NMin_3_P7_t1_B</v>
      </c>
      <c r="F29" s="8">
        <v>208.0</v>
      </c>
      <c r="G29" s="9">
        <v>45944.0</v>
      </c>
      <c r="H29" s="8">
        <v>10.0698</v>
      </c>
      <c r="I29" s="8">
        <v>7.1928</v>
      </c>
      <c r="J29" s="7">
        <f t="shared" si="2"/>
        <v>17.2626</v>
      </c>
      <c r="K29" s="11"/>
      <c r="L29" s="12"/>
      <c r="M29" s="15" t="str">
        <f t="shared" si="3"/>
        <v>Bradford/JDG - 2025 GHG Exp
NMin t1 (Sample)
Lab No: 208 -- ID:NMin_3_P7_t1_B</v>
      </c>
      <c r="N29" s="16" t="str">
        <f t="shared" si="4"/>
        <v>Bradford/JDG - 2025 GHG Exp
NMin t1 (Reserve)
Lab No: 208 -- ID:NMin_3_P7_t1_B</v>
      </c>
    </row>
    <row r="30" ht="22.5" customHeight="1">
      <c r="A30" s="5"/>
      <c r="B30" s="7">
        <v>8.0</v>
      </c>
      <c r="C30" s="7" t="s">
        <v>14</v>
      </c>
      <c r="D30" s="5" t="s">
        <v>15</v>
      </c>
      <c r="E30" s="6" t="str">
        <f t="shared" si="1"/>
        <v>NMin_3_P8_t0_A</v>
      </c>
      <c r="F30" s="8">
        <v>209.0</v>
      </c>
      <c r="G30" s="9">
        <v>45944.0</v>
      </c>
      <c r="H30" s="8">
        <v>9.9067</v>
      </c>
      <c r="I30" s="8">
        <v>7.0647</v>
      </c>
      <c r="J30" s="7">
        <f t="shared" si="2"/>
        <v>16.9714</v>
      </c>
      <c r="K30" s="11"/>
      <c r="L30" s="12"/>
      <c r="M30" s="13" t="str">
        <f t="shared" si="3"/>
        <v>Bradford/JDG - 2025 GHG Exp
NMin t0 (Sample)
Lab No: 209 -- ID:NMin_3_P8_t0_A</v>
      </c>
      <c r="N30" s="14" t="str">
        <f t="shared" si="4"/>
        <v>Bradford/JDG - 2025 GHG Exp
NMin t0 (Reserve)
Lab No: 209 -- ID:NMin_3_P8_t0_A</v>
      </c>
    </row>
    <row r="31" ht="22.5" customHeight="1">
      <c r="A31" s="5"/>
      <c r="B31" s="7">
        <v>8.0</v>
      </c>
      <c r="C31" s="7" t="s">
        <v>14</v>
      </c>
      <c r="D31" s="5" t="s">
        <v>16</v>
      </c>
      <c r="E31" s="6" t="str">
        <f t="shared" si="1"/>
        <v>NMin_3_P8_t0_B</v>
      </c>
      <c r="F31" s="8">
        <v>210.0</v>
      </c>
      <c r="G31" s="9">
        <v>45944.0</v>
      </c>
      <c r="H31" s="8">
        <v>10.0988</v>
      </c>
      <c r="I31" s="8">
        <v>7.0401</v>
      </c>
      <c r="J31" s="7">
        <f t="shared" si="2"/>
        <v>17.1389</v>
      </c>
      <c r="K31" s="11"/>
      <c r="L31" s="12"/>
      <c r="M31" s="15" t="str">
        <f t="shared" si="3"/>
        <v>Bradford/JDG - 2025 GHG Exp
NMin t0 (Sample)
Lab No: 210 -- ID:NMin_3_P8_t0_B</v>
      </c>
      <c r="N31" s="16" t="str">
        <f t="shared" si="4"/>
        <v>Bradford/JDG - 2025 GHG Exp
NMin t0 (Reserve)
Lab No: 210 -- ID:NMin_3_P8_t0_B</v>
      </c>
    </row>
    <row r="32" ht="22.5" customHeight="1">
      <c r="A32" s="5"/>
      <c r="B32" s="7">
        <v>8.0</v>
      </c>
      <c r="C32" s="7" t="s">
        <v>17</v>
      </c>
      <c r="D32" s="5" t="s">
        <v>15</v>
      </c>
      <c r="E32" s="6" t="str">
        <f t="shared" si="1"/>
        <v>NMin_3_P8_t1_A</v>
      </c>
      <c r="F32" s="8">
        <v>211.0</v>
      </c>
      <c r="G32" s="9">
        <v>45944.0</v>
      </c>
      <c r="H32" s="8">
        <v>10.0692</v>
      </c>
      <c r="I32" s="8">
        <v>7.0539</v>
      </c>
      <c r="J32" s="7">
        <f t="shared" si="2"/>
        <v>17.1231</v>
      </c>
      <c r="K32" s="11"/>
      <c r="L32" s="12"/>
      <c r="M32" s="13" t="str">
        <f t="shared" si="3"/>
        <v>Bradford/JDG - 2025 GHG Exp
NMin t1 (Sample)
Lab No: 211 -- ID:NMin_3_P8_t1_A</v>
      </c>
      <c r="N32" s="14" t="str">
        <f t="shared" si="4"/>
        <v>Bradford/JDG - 2025 GHG Exp
NMin t1 (Reserve)
Lab No: 211 -- ID:NMin_3_P8_t1_A</v>
      </c>
    </row>
    <row r="33" ht="22.5" customHeight="1">
      <c r="A33" s="5"/>
      <c r="B33" s="7">
        <v>8.0</v>
      </c>
      <c r="C33" s="7" t="s">
        <v>17</v>
      </c>
      <c r="D33" s="5" t="s">
        <v>16</v>
      </c>
      <c r="E33" s="6" t="str">
        <f t="shared" si="1"/>
        <v>NMin_3_P8_t1_B</v>
      </c>
      <c r="F33" s="8">
        <v>212.0</v>
      </c>
      <c r="G33" s="9">
        <v>45944.0</v>
      </c>
      <c r="H33" s="8">
        <v>10.01</v>
      </c>
      <c r="I33" s="8">
        <v>7.332</v>
      </c>
      <c r="J33" s="7">
        <f t="shared" si="2"/>
        <v>17.342</v>
      </c>
      <c r="K33" s="11"/>
      <c r="L33" s="12"/>
      <c r="M33" s="15" t="str">
        <f t="shared" si="3"/>
        <v>Bradford/JDG - 2025 GHG Exp
NMin t1 (Sample)
Lab No: 212 -- ID:NMin_3_P8_t1_B</v>
      </c>
      <c r="N33" s="16" t="str">
        <f t="shared" si="4"/>
        <v>Bradford/JDG - 2025 GHG Exp
NMin t1 (Reserve)
Lab No: 212 -- ID:NMin_3_P8_t1_B</v>
      </c>
    </row>
    <row r="34" ht="22.5" customHeight="1">
      <c r="A34" s="5"/>
      <c r="B34" s="7">
        <v>9.0</v>
      </c>
      <c r="C34" s="7" t="s">
        <v>14</v>
      </c>
      <c r="D34" s="5" t="s">
        <v>15</v>
      </c>
      <c r="E34" s="6" t="str">
        <f t="shared" si="1"/>
        <v>NMin_3_P9_t0_A</v>
      </c>
      <c r="F34" s="8">
        <v>213.0</v>
      </c>
      <c r="G34" s="9">
        <v>45944.0</v>
      </c>
      <c r="H34" s="8">
        <v>10.1301</v>
      </c>
      <c r="I34" s="8">
        <v>7.1787</v>
      </c>
      <c r="J34" s="7">
        <f t="shared" si="2"/>
        <v>17.3088</v>
      </c>
      <c r="K34" s="11"/>
      <c r="L34" s="12"/>
      <c r="M34" s="13" t="str">
        <f t="shared" si="3"/>
        <v>Bradford/JDG - 2025 GHG Exp
NMin t0 (Sample)
Lab No: 213 -- ID:NMin_3_P9_t0_A</v>
      </c>
      <c r="N34" s="14" t="str">
        <f t="shared" si="4"/>
        <v>Bradford/JDG - 2025 GHG Exp
NMin t0 (Reserve)
Lab No: 213 -- ID:NMin_3_P9_t0_A</v>
      </c>
    </row>
    <row r="35" ht="22.5" customHeight="1">
      <c r="A35" s="5"/>
      <c r="B35" s="7">
        <v>9.0</v>
      </c>
      <c r="C35" s="7" t="s">
        <v>14</v>
      </c>
      <c r="D35" s="5" t="s">
        <v>16</v>
      </c>
      <c r="E35" s="6" t="str">
        <f t="shared" si="1"/>
        <v>NMin_3_P9_t0_B</v>
      </c>
      <c r="F35" s="8">
        <v>214.0</v>
      </c>
      <c r="G35" s="9">
        <v>45944.0</v>
      </c>
      <c r="H35" s="8">
        <v>10.1121</v>
      </c>
      <c r="I35" s="8">
        <v>7.2091</v>
      </c>
      <c r="J35" s="7">
        <f t="shared" si="2"/>
        <v>17.3212</v>
      </c>
      <c r="K35" s="11"/>
      <c r="L35" s="12"/>
      <c r="M35" s="15" t="str">
        <f t="shared" si="3"/>
        <v>Bradford/JDG - 2025 GHG Exp
NMin t0 (Sample)
Lab No: 214 -- ID:NMin_3_P9_t0_B</v>
      </c>
      <c r="N35" s="16" t="str">
        <f t="shared" si="4"/>
        <v>Bradford/JDG - 2025 GHG Exp
NMin t0 (Reserve)
Lab No: 214 -- ID:NMin_3_P9_t0_B</v>
      </c>
    </row>
    <row r="36" ht="22.5" customHeight="1">
      <c r="A36" s="5"/>
      <c r="B36" s="7">
        <v>9.0</v>
      </c>
      <c r="C36" s="7" t="s">
        <v>17</v>
      </c>
      <c r="D36" s="5" t="s">
        <v>15</v>
      </c>
      <c r="E36" s="6" t="str">
        <f t="shared" si="1"/>
        <v>NMin_3_P9_t1_A</v>
      </c>
      <c r="F36" s="8">
        <v>215.0</v>
      </c>
      <c r="G36" s="9">
        <v>45944.0</v>
      </c>
      <c r="H36" s="8">
        <v>10.0887</v>
      </c>
      <c r="I36" s="8">
        <v>7.1621</v>
      </c>
      <c r="J36" s="7">
        <f t="shared" si="2"/>
        <v>17.2508</v>
      </c>
      <c r="K36" s="11"/>
      <c r="L36" s="12"/>
      <c r="M36" s="13" t="str">
        <f t="shared" si="3"/>
        <v>Bradford/JDG - 2025 GHG Exp
NMin t1 (Sample)
Lab No: 215 -- ID:NMin_3_P9_t1_A</v>
      </c>
      <c r="N36" s="14" t="str">
        <f t="shared" si="4"/>
        <v>Bradford/JDG - 2025 GHG Exp
NMin t1 (Reserve)
Lab No: 215 -- ID:NMin_3_P9_t1_A</v>
      </c>
    </row>
    <row r="37" ht="22.5" customHeight="1">
      <c r="A37" s="5"/>
      <c r="B37" s="7">
        <v>9.0</v>
      </c>
      <c r="C37" s="7" t="s">
        <v>17</v>
      </c>
      <c r="D37" s="5" t="s">
        <v>16</v>
      </c>
      <c r="E37" s="6" t="str">
        <f t="shared" si="1"/>
        <v>NMin_3_P9_t1_B</v>
      </c>
      <c r="F37" s="8">
        <v>216.0</v>
      </c>
      <c r="G37" s="9">
        <v>45944.0</v>
      </c>
      <c r="H37" s="8">
        <v>10.0744</v>
      </c>
      <c r="I37" s="8">
        <v>7.2427</v>
      </c>
      <c r="J37" s="7">
        <f t="shared" si="2"/>
        <v>17.3171</v>
      </c>
      <c r="K37" s="11"/>
      <c r="L37" s="12"/>
      <c r="M37" s="15" t="str">
        <f t="shared" si="3"/>
        <v>Bradford/JDG - 2025 GHG Exp
NMin t1 (Sample)
Lab No: 216 -- ID:NMin_3_P9_t1_B</v>
      </c>
      <c r="N37" s="16" t="str">
        <f t="shared" si="4"/>
        <v>Bradford/JDG - 2025 GHG Exp
NMin t1 (Reserve)
Lab No: 216 -- ID:NMin_3_P9_t1_B</v>
      </c>
    </row>
    <row r="38" ht="22.5" customHeight="1">
      <c r="A38" s="5"/>
      <c r="B38" s="7">
        <v>10.0</v>
      </c>
      <c r="C38" s="7" t="s">
        <v>14</v>
      </c>
      <c r="D38" s="5" t="s">
        <v>15</v>
      </c>
      <c r="E38" s="6" t="str">
        <f t="shared" si="1"/>
        <v>NMin_3_P10_t0_A</v>
      </c>
      <c r="F38" s="8">
        <v>217.0</v>
      </c>
      <c r="G38" s="9">
        <v>45944.0</v>
      </c>
      <c r="H38" s="8">
        <v>9.9355</v>
      </c>
      <c r="I38" s="8">
        <v>7.3662</v>
      </c>
      <c r="J38" s="7">
        <f t="shared" si="2"/>
        <v>17.3017</v>
      </c>
      <c r="K38" s="11"/>
      <c r="L38" s="12"/>
      <c r="M38" s="13" t="str">
        <f t="shared" si="3"/>
        <v>Bradford/JDG - 2025 GHG Exp
NMin t0 (Sample)
Lab No: 217 -- ID:NMin_3_P10_t0_A</v>
      </c>
      <c r="N38" s="14" t="str">
        <f t="shared" si="4"/>
        <v>Bradford/JDG - 2025 GHG Exp
NMin t0 (Reserve)
Lab No: 217 -- ID:NMin_3_P10_t0_A</v>
      </c>
    </row>
    <row r="39" ht="22.5" customHeight="1">
      <c r="A39" s="5"/>
      <c r="B39" s="7">
        <v>10.0</v>
      </c>
      <c r="C39" s="7" t="s">
        <v>14</v>
      </c>
      <c r="D39" s="5" t="s">
        <v>16</v>
      </c>
      <c r="E39" s="6" t="str">
        <f t="shared" si="1"/>
        <v>NMin_3_P10_t0_B</v>
      </c>
      <c r="F39" s="8">
        <v>218.0</v>
      </c>
      <c r="G39" s="9">
        <v>45944.0</v>
      </c>
      <c r="H39" s="8">
        <v>10.1299</v>
      </c>
      <c r="I39" s="8">
        <v>7.2809</v>
      </c>
      <c r="J39" s="7">
        <f t="shared" si="2"/>
        <v>17.4108</v>
      </c>
      <c r="K39" s="11"/>
      <c r="L39" s="12"/>
      <c r="M39" s="15" t="str">
        <f t="shared" si="3"/>
        <v>Bradford/JDG - 2025 GHG Exp
NMin t0 (Sample)
Lab No: 218 -- ID:NMin_3_P10_t0_B</v>
      </c>
      <c r="N39" s="16" t="str">
        <f t="shared" si="4"/>
        <v>Bradford/JDG - 2025 GHG Exp
NMin t0 (Reserve)
Lab No: 218 -- ID:NMin_3_P10_t0_B</v>
      </c>
    </row>
    <row r="40" ht="22.5" customHeight="1">
      <c r="A40" s="5"/>
      <c r="B40" s="7">
        <v>10.0</v>
      </c>
      <c r="C40" s="7" t="s">
        <v>17</v>
      </c>
      <c r="D40" s="5" t="s">
        <v>15</v>
      </c>
      <c r="E40" s="6" t="str">
        <f t="shared" si="1"/>
        <v>NMin_3_P10_t1_A</v>
      </c>
      <c r="F40" s="8">
        <v>219.0</v>
      </c>
      <c r="G40" s="9">
        <v>45944.0</v>
      </c>
      <c r="H40" s="8">
        <v>10.0638</v>
      </c>
      <c r="I40" s="8">
        <v>7.2542</v>
      </c>
      <c r="J40" s="7">
        <f t="shared" si="2"/>
        <v>17.318</v>
      </c>
      <c r="K40" s="11"/>
      <c r="L40" s="12"/>
      <c r="M40" s="13" t="str">
        <f t="shared" si="3"/>
        <v>Bradford/JDG - 2025 GHG Exp
NMin t1 (Sample)
Lab No: 219 -- ID:NMin_3_P10_t1_A</v>
      </c>
      <c r="N40" s="14" t="str">
        <f t="shared" si="4"/>
        <v>Bradford/JDG - 2025 GHG Exp
NMin t1 (Reserve)
Lab No: 219 -- ID:NMin_3_P10_t1_A</v>
      </c>
    </row>
    <row r="41" ht="22.5" customHeight="1">
      <c r="A41" s="5"/>
      <c r="B41" s="7">
        <v>10.0</v>
      </c>
      <c r="C41" s="7" t="s">
        <v>17</v>
      </c>
      <c r="D41" s="5" t="s">
        <v>16</v>
      </c>
      <c r="E41" s="6" t="str">
        <f t="shared" si="1"/>
        <v>NMin_3_P10_t1_B</v>
      </c>
      <c r="F41" s="8">
        <v>220.0</v>
      </c>
      <c r="G41" s="9">
        <v>45944.0</v>
      </c>
      <c r="H41" s="8">
        <v>10.1042</v>
      </c>
      <c r="I41" s="8">
        <v>7.0974</v>
      </c>
      <c r="J41" s="7">
        <f t="shared" si="2"/>
        <v>17.2016</v>
      </c>
      <c r="K41" s="11"/>
      <c r="L41" s="12"/>
      <c r="M41" s="15" t="str">
        <f t="shared" si="3"/>
        <v>Bradford/JDG - 2025 GHG Exp
NMin t1 (Sample)
Lab No: 220 -- ID:NMin_3_P10_t1_B</v>
      </c>
      <c r="N41" s="16" t="str">
        <f t="shared" si="4"/>
        <v>Bradford/JDG - 2025 GHG Exp
NMin t1 (Reserve)
Lab No: 220 -- ID:NMin_3_P10_t1_B</v>
      </c>
    </row>
    <row r="42" ht="22.5" customHeight="1">
      <c r="A42" s="5"/>
      <c r="B42" s="7">
        <v>11.0</v>
      </c>
      <c r="C42" s="7" t="s">
        <v>14</v>
      </c>
      <c r="D42" s="5" t="s">
        <v>15</v>
      </c>
      <c r="E42" s="6" t="str">
        <f t="shared" si="1"/>
        <v>NMin_3_P11_t0_A</v>
      </c>
      <c r="F42" s="8">
        <v>221.0</v>
      </c>
      <c r="G42" s="9">
        <v>45944.0</v>
      </c>
      <c r="H42" s="8">
        <v>10.1685</v>
      </c>
      <c r="I42" s="8">
        <v>7.3615</v>
      </c>
      <c r="J42" s="7">
        <f t="shared" si="2"/>
        <v>17.53</v>
      </c>
      <c r="K42" s="11"/>
      <c r="L42" s="12"/>
      <c r="M42" s="13" t="str">
        <f t="shared" si="3"/>
        <v>Bradford/JDG - 2025 GHG Exp
NMin t0 (Sample)
Lab No: 221 -- ID:NMin_3_P11_t0_A</v>
      </c>
      <c r="N42" s="14" t="str">
        <f t="shared" si="4"/>
        <v>Bradford/JDG - 2025 GHG Exp
NMin t0 (Reserve)
Lab No: 221 -- ID:NMin_3_P11_t0_A</v>
      </c>
    </row>
    <row r="43" ht="22.5" customHeight="1">
      <c r="A43" s="5"/>
      <c r="B43" s="7">
        <v>11.0</v>
      </c>
      <c r="C43" s="7" t="s">
        <v>14</v>
      </c>
      <c r="D43" s="5" t="s">
        <v>16</v>
      </c>
      <c r="E43" s="6" t="str">
        <f t="shared" si="1"/>
        <v>NMin_3_P11_t0_B</v>
      </c>
      <c r="F43" s="8">
        <v>222.0</v>
      </c>
      <c r="G43" s="9">
        <v>45944.0</v>
      </c>
      <c r="H43" s="8">
        <v>10.1486</v>
      </c>
      <c r="I43" s="8">
        <v>7.365</v>
      </c>
      <c r="J43" s="7">
        <f t="shared" si="2"/>
        <v>17.5136</v>
      </c>
      <c r="K43" s="11"/>
      <c r="L43" s="12"/>
      <c r="M43" s="15" t="str">
        <f t="shared" si="3"/>
        <v>Bradford/JDG - 2025 GHG Exp
NMin t0 (Sample)
Lab No: 222 -- ID:NMin_3_P11_t0_B</v>
      </c>
      <c r="N43" s="16" t="str">
        <f t="shared" si="4"/>
        <v>Bradford/JDG - 2025 GHG Exp
NMin t0 (Reserve)
Lab No: 222 -- ID:NMin_3_P11_t0_B</v>
      </c>
    </row>
    <row r="44" ht="22.5" customHeight="1">
      <c r="A44" s="5"/>
      <c r="B44" s="7">
        <v>11.0</v>
      </c>
      <c r="C44" s="7" t="s">
        <v>17</v>
      </c>
      <c r="D44" s="5" t="s">
        <v>15</v>
      </c>
      <c r="E44" s="6" t="str">
        <f t="shared" si="1"/>
        <v>NMin_3_P11_t1_A</v>
      </c>
      <c r="F44" s="8">
        <v>223.0</v>
      </c>
      <c r="G44" s="9">
        <v>45944.0</v>
      </c>
      <c r="H44" s="8">
        <v>9.9124</v>
      </c>
      <c r="I44" s="8">
        <v>7.3367</v>
      </c>
      <c r="J44" s="7">
        <f t="shared" si="2"/>
        <v>17.2491</v>
      </c>
      <c r="K44" s="11"/>
      <c r="L44" s="12"/>
      <c r="M44" s="13" t="str">
        <f t="shared" si="3"/>
        <v>Bradford/JDG - 2025 GHG Exp
NMin t1 (Sample)
Lab No: 223 -- ID:NMin_3_P11_t1_A</v>
      </c>
      <c r="N44" s="14" t="str">
        <f t="shared" si="4"/>
        <v>Bradford/JDG - 2025 GHG Exp
NMin t1 (Reserve)
Lab No: 223 -- ID:NMin_3_P11_t1_A</v>
      </c>
    </row>
    <row r="45" ht="22.5" customHeight="1">
      <c r="A45" s="5"/>
      <c r="B45" s="7">
        <v>11.0</v>
      </c>
      <c r="C45" s="7" t="s">
        <v>17</v>
      </c>
      <c r="D45" s="5" t="s">
        <v>16</v>
      </c>
      <c r="E45" s="6" t="str">
        <f t="shared" si="1"/>
        <v>NMin_3_P11_t1_B</v>
      </c>
      <c r="F45" s="8">
        <v>224.0</v>
      </c>
      <c r="G45" s="9">
        <v>45944.0</v>
      </c>
      <c r="H45" s="8">
        <v>10.1457</v>
      </c>
      <c r="I45" s="8">
        <v>7.3207</v>
      </c>
      <c r="J45" s="7">
        <f t="shared" si="2"/>
        <v>17.4664</v>
      </c>
      <c r="K45" s="11"/>
      <c r="L45" s="12"/>
      <c r="M45" s="15" t="str">
        <f t="shared" si="3"/>
        <v>Bradford/JDG - 2025 GHG Exp
NMin t1 (Sample)
Lab No: 224 -- ID:NMin_3_P11_t1_B</v>
      </c>
      <c r="N45" s="16" t="str">
        <f t="shared" si="4"/>
        <v>Bradford/JDG - 2025 GHG Exp
NMin t1 (Reserve)
Lab No: 224 -- ID:NMin_3_P11_t1_B</v>
      </c>
    </row>
    <row r="46" ht="22.5" customHeight="1">
      <c r="A46" s="5"/>
      <c r="B46" s="7">
        <v>12.0</v>
      </c>
      <c r="C46" s="7" t="s">
        <v>14</v>
      </c>
      <c r="D46" s="5" t="s">
        <v>15</v>
      </c>
      <c r="E46" s="6" t="str">
        <f t="shared" si="1"/>
        <v>NMin_3_P12_t0_A</v>
      </c>
      <c r="F46" s="8">
        <v>225.0</v>
      </c>
      <c r="G46" s="9">
        <v>45944.0</v>
      </c>
      <c r="H46" s="8">
        <v>10.0304</v>
      </c>
      <c r="I46" s="8">
        <v>7.1556</v>
      </c>
      <c r="J46" s="7">
        <f t="shared" si="2"/>
        <v>17.186</v>
      </c>
      <c r="K46" s="11"/>
      <c r="L46" s="12"/>
      <c r="M46" s="13" t="str">
        <f t="shared" si="3"/>
        <v>Bradford/JDG - 2025 GHG Exp
NMin t0 (Sample)
Lab No: 225 -- ID:NMin_3_P12_t0_A</v>
      </c>
      <c r="N46" s="14" t="str">
        <f t="shared" si="4"/>
        <v>Bradford/JDG - 2025 GHG Exp
NMin t0 (Reserve)
Lab No: 225 -- ID:NMin_3_P12_t0_A</v>
      </c>
    </row>
    <row r="47" ht="22.5" customHeight="1">
      <c r="A47" s="5"/>
      <c r="B47" s="7">
        <v>12.0</v>
      </c>
      <c r="C47" s="7" t="s">
        <v>14</v>
      </c>
      <c r="D47" s="5" t="s">
        <v>16</v>
      </c>
      <c r="E47" s="6" t="str">
        <f t="shared" si="1"/>
        <v>NMin_3_P12_t0_B</v>
      </c>
      <c r="F47" s="8">
        <v>226.0</v>
      </c>
      <c r="G47" s="9">
        <v>45944.0</v>
      </c>
      <c r="H47" s="8">
        <v>10.0737</v>
      </c>
      <c r="I47" s="8">
        <v>7.4407</v>
      </c>
      <c r="J47" s="7">
        <f t="shared" si="2"/>
        <v>17.5144</v>
      </c>
      <c r="K47" s="11"/>
      <c r="L47" s="12"/>
      <c r="M47" s="15" t="str">
        <f t="shared" si="3"/>
        <v>Bradford/JDG - 2025 GHG Exp
NMin t0 (Sample)
Lab No: 226 -- ID:NMin_3_P12_t0_B</v>
      </c>
      <c r="N47" s="16" t="str">
        <f t="shared" si="4"/>
        <v>Bradford/JDG - 2025 GHG Exp
NMin t0 (Reserve)
Lab No: 226 -- ID:NMin_3_P12_t0_B</v>
      </c>
    </row>
    <row r="48" ht="22.5" customHeight="1">
      <c r="A48" s="5"/>
      <c r="B48" s="7">
        <v>12.0</v>
      </c>
      <c r="C48" s="7" t="s">
        <v>17</v>
      </c>
      <c r="D48" s="5" t="s">
        <v>15</v>
      </c>
      <c r="E48" s="6" t="str">
        <f t="shared" si="1"/>
        <v>NMin_3_P12_t1_A</v>
      </c>
      <c r="F48" s="8">
        <v>227.0</v>
      </c>
      <c r="G48" s="9">
        <v>45944.0</v>
      </c>
      <c r="H48" s="8">
        <v>10.0772</v>
      </c>
      <c r="I48" s="8">
        <v>7.0318</v>
      </c>
      <c r="J48" s="7">
        <f t="shared" si="2"/>
        <v>17.109</v>
      </c>
      <c r="K48" s="11"/>
      <c r="L48" s="12"/>
      <c r="M48" s="13" t="str">
        <f t="shared" si="3"/>
        <v>Bradford/JDG - 2025 GHG Exp
NMin t1 (Sample)
Lab No: 227 -- ID:NMin_3_P12_t1_A</v>
      </c>
      <c r="N48" s="14" t="str">
        <f t="shared" si="4"/>
        <v>Bradford/JDG - 2025 GHG Exp
NMin t1 (Reserve)
Lab No: 227 -- ID:NMin_3_P12_t1_A</v>
      </c>
    </row>
    <row r="49" ht="22.5" customHeight="1">
      <c r="A49" s="5"/>
      <c r="B49" s="7">
        <v>12.0</v>
      </c>
      <c r="C49" s="7" t="s">
        <v>17</v>
      </c>
      <c r="D49" s="5" t="s">
        <v>16</v>
      </c>
      <c r="E49" s="6" t="str">
        <f t="shared" si="1"/>
        <v>NMin_3_P12_t1_B</v>
      </c>
      <c r="F49" s="8">
        <v>228.0</v>
      </c>
      <c r="G49" s="9">
        <v>45944.0</v>
      </c>
      <c r="H49" s="8">
        <v>10.0141</v>
      </c>
      <c r="I49" s="8">
        <v>7.282</v>
      </c>
      <c r="J49" s="7">
        <f t="shared" si="2"/>
        <v>17.2961</v>
      </c>
      <c r="K49" s="11"/>
      <c r="L49" s="12"/>
      <c r="M49" s="15" t="str">
        <f t="shared" si="3"/>
        <v>Bradford/JDG - 2025 GHG Exp
NMin t1 (Sample)
Lab No: 228 -- ID:NMin_3_P12_t1_B</v>
      </c>
      <c r="N49" s="16" t="str">
        <f t="shared" si="4"/>
        <v>Bradford/JDG - 2025 GHG Exp
NMin t1 (Reserve)
Lab No: 228 -- ID:NMin_3_P12_t1_B</v>
      </c>
    </row>
    <row r="50" ht="22.5" customHeight="1">
      <c r="A50" s="5"/>
      <c r="B50" s="7">
        <v>13.0</v>
      </c>
      <c r="C50" s="7" t="s">
        <v>14</v>
      </c>
      <c r="D50" s="5" t="s">
        <v>15</v>
      </c>
      <c r="E50" s="6" t="str">
        <f t="shared" si="1"/>
        <v>NMin_3_P13_t0_A</v>
      </c>
      <c r="F50" s="8">
        <v>229.0</v>
      </c>
      <c r="G50" s="9">
        <v>45944.0</v>
      </c>
      <c r="H50" s="8">
        <v>10.089</v>
      </c>
      <c r="I50" s="8">
        <v>7.214</v>
      </c>
      <c r="J50" s="7">
        <f t="shared" si="2"/>
        <v>17.303</v>
      </c>
      <c r="K50" s="11"/>
      <c r="L50" s="12"/>
      <c r="M50" s="13" t="str">
        <f t="shared" si="3"/>
        <v>Bradford/JDG - 2025 GHG Exp
NMin t0 (Sample)
Lab No: 229 -- ID:NMin_3_P13_t0_A</v>
      </c>
      <c r="N50" s="14" t="str">
        <f t="shared" si="4"/>
        <v>Bradford/JDG - 2025 GHG Exp
NMin t0 (Reserve)
Lab No: 229 -- ID:NMin_3_P13_t0_A</v>
      </c>
    </row>
    <row r="51" ht="22.5" customHeight="1">
      <c r="A51" s="5"/>
      <c r="B51" s="7">
        <v>13.0</v>
      </c>
      <c r="C51" s="7" t="s">
        <v>14</v>
      </c>
      <c r="D51" s="5" t="s">
        <v>16</v>
      </c>
      <c r="E51" s="6" t="str">
        <f t="shared" si="1"/>
        <v>NMin_3_P13_t0_B</v>
      </c>
      <c r="F51" s="8">
        <v>230.0</v>
      </c>
      <c r="G51" s="9">
        <v>45944.0</v>
      </c>
      <c r="H51" s="8">
        <v>10.011</v>
      </c>
      <c r="I51" s="8">
        <v>7.302</v>
      </c>
      <c r="J51" s="7">
        <f t="shared" si="2"/>
        <v>17.313</v>
      </c>
      <c r="K51" s="11"/>
      <c r="L51" s="12"/>
      <c r="M51" s="15" t="str">
        <f t="shared" si="3"/>
        <v>Bradford/JDG - 2025 GHG Exp
NMin t0 (Sample)
Lab No: 230 -- ID:NMin_3_P13_t0_B</v>
      </c>
      <c r="N51" s="16" t="str">
        <f t="shared" si="4"/>
        <v>Bradford/JDG - 2025 GHG Exp
NMin t0 (Reserve)
Lab No: 230 -- ID:NMin_3_P13_t0_B</v>
      </c>
    </row>
    <row r="52" ht="22.5" customHeight="1">
      <c r="A52" s="5"/>
      <c r="B52" s="7">
        <v>13.0</v>
      </c>
      <c r="C52" s="7" t="s">
        <v>17</v>
      </c>
      <c r="D52" s="5" t="s">
        <v>15</v>
      </c>
      <c r="E52" s="6" t="str">
        <f t="shared" si="1"/>
        <v>NMin_3_P13_t1_A</v>
      </c>
      <c r="F52" s="8">
        <v>231.0</v>
      </c>
      <c r="G52" s="9">
        <v>45944.0</v>
      </c>
      <c r="H52" s="8">
        <v>10.238</v>
      </c>
      <c r="I52" s="8">
        <v>7.281</v>
      </c>
      <c r="J52" s="7">
        <f t="shared" si="2"/>
        <v>17.519</v>
      </c>
      <c r="K52" s="11"/>
      <c r="L52" s="12"/>
      <c r="M52" s="13" t="str">
        <f t="shared" si="3"/>
        <v>Bradford/JDG - 2025 GHG Exp
NMin t1 (Sample)
Lab No: 231 -- ID:NMin_3_P13_t1_A</v>
      </c>
      <c r="N52" s="14" t="str">
        <f t="shared" si="4"/>
        <v>Bradford/JDG - 2025 GHG Exp
NMin t1 (Reserve)
Lab No: 231 -- ID:NMin_3_P13_t1_A</v>
      </c>
    </row>
    <row r="53" ht="22.5" customHeight="1">
      <c r="A53" s="5"/>
      <c r="B53" s="7">
        <v>13.0</v>
      </c>
      <c r="C53" s="7" t="s">
        <v>17</v>
      </c>
      <c r="D53" s="5" t="s">
        <v>16</v>
      </c>
      <c r="E53" s="6" t="str">
        <f t="shared" si="1"/>
        <v>NMin_3_P13_t1_B</v>
      </c>
      <c r="F53" s="8">
        <v>232.0</v>
      </c>
      <c r="G53" s="9">
        <v>45944.0</v>
      </c>
      <c r="H53" s="8">
        <v>10.216</v>
      </c>
      <c r="I53" s="8">
        <v>7.085</v>
      </c>
      <c r="J53" s="7">
        <f t="shared" si="2"/>
        <v>17.301</v>
      </c>
      <c r="K53" s="11"/>
      <c r="L53" s="12"/>
      <c r="M53" s="15" t="str">
        <f t="shared" si="3"/>
        <v>Bradford/JDG - 2025 GHG Exp
NMin t1 (Sample)
Lab No: 232 -- ID:NMin_3_P13_t1_B</v>
      </c>
      <c r="N53" s="16" t="str">
        <f t="shared" si="4"/>
        <v>Bradford/JDG - 2025 GHG Exp
NMin t1 (Reserve)
Lab No: 232 -- ID:NMin_3_P13_t1_B</v>
      </c>
    </row>
    <row r="54" ht="22.5" customHeight="1">
      <c r="A54" s="5"/>
      <c r="B54" s="7">
        <v>14.0</v>
      </c>
      <c r="C54" s="7" t="s">
        <v>14</v>
      </c>
      <c r="D54" s="5" t="s">
        <v>15</v>
      </c>
      <c r="E54" s="6" t="str">
        <f t="shared" si="1"/>
        <v>NMin_3_P14_t0_A</v>
      </c>
      <c r="F54" s="8">
        <v>233.0</v>
      </c>
      <c r="G54" s="9">
        <v>45944.0</v>
      </c>
      <c r="H54" s="8">
        <v>10.198</v>
      </c>
      <c r="I54" s="8">
        <v>7.051</v>
      </c>
      <c r="J54" s="7">
        <f t="shared" si="2"/>
        <v>17.249</v>
      </c>
      <c r="K54" s="11"/>
      <c r="L54" s="12"/>
      <c r="M54" s="13" t="str">
        <f t="shared" si="3"/>
        <v>Bradford/JDG - 2025 GHG Exp
NMin t0 (Sample)
Lab No: 233 -- ID:NMin_3_P14_t0_A</v>
      </c>
      <c r="N54" s="14" t="str">
        <f t="shared" si="4"/>
        <v>Bradford/JDG - 2025 GHG Exp
NMin t0 (Reserve)
Lab No: 233 -- ID:NMin_3_P14_t0_A</v>
      </c>
    </row>
    <row r="55" ht="22.5" customHeight="1">
      <c r="A55" s="5"/>
      <c r="B55" s="7">
        <v>14.0</v>
      </c>
      <c r="C55" s="7" t="s">
        <v>14</v>
      </c>
      <c r="D55" s="5" t="s">
        <v>16</v>
      </c>
      <c r="E55" s="6" t="str">
        <f t="shared" si="1"/>
        <v>NMin_3_P14_t0_B</v>
      </c>
      <c r="F55" s="8">
        <v>234.0</v>
      </c>
      <c r="G55" s="9">
        <v>45944.0</v>
      </c>
      <c r="H55" s="8">
        <v>10.157</v>
      </c>
      <c r="I55" s="8">
        <v>7.033</v>
      </c>
      <c r="J55" s="7">
        <f t="shared" si="2"/>
        <v>17.19</v>
      </c>
      <c r="K55" s="11"/>
      <c r="L55" s="12"/>
      <c r="M55" s="15" t="str">
        <f t="shared" si="3"/>
        <v>Bradford/JDG - 2025 GHG Exp
NMin t0 (Sample)
Lab No: 234 -- ID:NMin_3_P14_t0_B</v>
      </c>
      <c r="N55" s="16" t="str">
        <f t="shared" si="4"/>
        <v>Bradford/JDG - 2025 GHG Exp
NMin t0 (Reserve)
Lab No: 234 -- ID:NMin_3_P14_t0_B</v>
      </c>
    </row>
    <row r="56" ht="22.5" customHeight="1">
      <c r="A56" s="5"/>
      <c r="B56" s="7">
        <v>14.0</v>
      </c>
      <c r="C56" s="7" t="s">
        <v>17</v>
      </c>
      <c r="D56" s="5" t="s">
        <v>15</v>
      </c>
      <c r="E56" s="6" t="str">
        <f t="shared" si="1"/>
        <v>NMin_3_P14_t1_A</v>
      </c>
      <c r="F56" s="8">
        <v>235.0</v>
      </c>
      <c r="G56" s="9">
        <v>45944.0</v>
      </c>
      <c r="H56" s="8">
        <v>10.159</v>
      </c>
      <c r="I56" s="8">
        <v>7.045</v>
      </c>
      <c r="J56" s="7">
        <f t="shared" si="2"/>
        <v>17.204</v>
      </c>
      <c r="K56" s="11"/>
      <c r="L56" s="12"/>
      <c r="M56" s="13" t="str">
        <f t="shared" si="3"/>
        <v>Bradford/JDG - 2025 GHG Exp
NMin t1 (Sample)
Lab No: 235 -- ID:NMin_3_P14_t1_A</v>
      </c>
      <c r="N56" s="14" t="str">
        <f t="shared" si="4"/>
        <v>Bradford/JDG - 2025 GHG Exp
NMin t1 (Reserve)
Lab No: 235 -- ID:NMin_3_P14_t1_A</v>
      </c>
    </row>
    <row r="57" ht="22.5" customHeight="1">
      <c r="A57" s="5"/>
      <c r="B57" s="7">
        <v>14.0</v>
      </c>
      <c r="C57" s="7" t="s">
        <v>17</v>
      </c>
      <c r="D57" s="5" t="s">
        <v>16</v>
      </c>
      <c r="E57" s="6" t="str">
        <f t="shared" si="1"/>
        <v>NMin_3_P14_t1_B</v>
      </c>
      <c r="F57" s="8">
        <v>236.0</v>
      </c>
      <c r="G57" s="9">
        <v>45944.0</v>
      </c>
      <c r="H57" s="8">
        <v>10.301</v>
      </c>
      <c r="I57" s="8">
        <v>7.038</v>
      </c>
      <c r="J57" s="7">
        <f t="shared" si="2"/>
        <v>17.339</v>
      </c>
      <c r="K57" s="11"/>
      <c r="L57" s="12"/>
      <c r="M57" s="15" t="str">
        <f t="shared" si="3"/>
        <v>Bradford/JDG - 2025 GHG Exp
NMin t1 (Sample)
Lab No: 236 -- ID:NMin_3_P14_t1_B</v>
      </c>
      <c r="N57" s="16" t="str">
        <f t="shared" si="4"/>
        <v>Bradford/JDG - 2025 GHG Exp
NMin t1 (Reserve)
Lab No: 236 -- ID:NMin_3_P14_t1_B</v>
      </c>
    </row>
    <row r="58" ht="22.5" customHeight="1">
      <c r="A58" s="5"/>
      <c r="B58" s="7">
        <v>15.0</v>
      </c>
      <c r="C58" s="7" t="s">
        <v>14</v>
      </c>
      <c r="D58" s="5" t="s">
        <v>15</v>
      </c>
      <c r="E58" s="6" t="str">
        <f t="shared" si="1"/>
        <v>NMin_3_P15_t0_A</v>
      </c>
      <c r="F58" s="8">
        <v>237.0</v>
      </c>
      <c r="G58" s="9">
        <v>45944.0</v>
      </c>
      <c r="H58" s="8">
        <v>10.199</v>
      </c>
      <c r="I58" s="8">
        <v>7.024</v>
      </c>
      <c r="J58" s="7">
        <f t="shared" si="2"/>
        <v>17.223</v>
      </c>
      <c r="K58" s="11"/>
      <c r="L58" s="12"/>
      <c r="M58" s="13" t="str">
        <f t="shared" si="3"/>
        <v>Bradford/JDG - 2025 GHG Exp
NMin t0 (Sample)
Lab No: 237 -- ID:NMin_3_P15_t0_A</v>
      </c>
      <c r="N58" s="14" t="str">
        <f t="shared" si="4"/>
        <v>Bradford/JDG - 2025 GHG Exp
NMin t0 (Reserve)
Lab No: 237 -- ID:NMin_3_P15_t0_A</v>
      </c>
    </row>
    <row r="59" ht="22.5" customHeight="1">
      <c r="A59" s="5"/>
      <c r="B59" s="7">
        <v>15.0</v>
      </c>
      <c r="C59" s="7" t="s">
        <v>14</v>
      </c>
      <c r="D59" s="5" t="s">
        <v>16</v>
      </c>
      <c r="E59" s="6" t="str">
        <f t="shared" si="1"/>
        <v>NMin_3_P15_t0_B</v>
      </c>
      <c r="F59" s="8">
        <v>238.0</v>
      </c>
      <c r="G59" s="9">
        <v>45944.0</v>
      </c>
      <c r="H59" s="8">
        <v>10.207</v>
      </c>
      <c r="I59" s="8">
        <v>7.088</v>
      </c>
      <c r="J59" s="7">
        <f t="shared" si="2"/>
        <v>17.295</v>
      </c>
      <c r="K59" s="11"/>
      <c r="L59" s="12"/>
      <c r="M59" s="15" t="str">
        <f t="shared" si="3"/>
        <v>Bradford/JDG - 2025 GHG Exp
NMin t0 (Sample)
Lab No: 238 -- ID:NMin_3_P15_t0_B</v>
      </c>
      <c r="N59" s="16" t="str">
        <f t="shared" si="4"/>
        <v>Bradford/JDG - 2025 GHG Exp
NMin t0 (Reserve)
Lab No: 238 -- ID:NMin_3_P15_t0_B</v>
      </c>
    </row>
    <row r="60" ht="22.5" customHeight="1">
      <c r="A60" s="5"/>
      <c r="B60" s="7">
        <v>15.0</v>
      </c>
      <c r="C60" s="7" t="s">
        <v>17</v>
      </c>
      <c r="D60" s="5" t="s">
        <v>15</v>
      </c>
      <c r="E60" s="6" t="str">
        <f t="shared" si="1"/>
        <v>NMin_3_P15_t1_A</v>
      </c>
      <c r="F60" s="8">
        <v>239.0</v>
      </c>
      <c r="G60" s="9">
        <v>45944.0</v>
      </c>
      <c r="H60" s="8">
        <v>10.186</v>
      </c>
      <c r="I60" s="8">
        <v>7.014</v>
      </c>
      <c r="J60" s="7">
        <f t="shared" si="2"/>
        <v>17.2</v>
      </c>
      <c r="K60" s="11"/>
      <c r="L60" s="12"/>
      <c r="M60" s="13" t="str">
        <f t="shared" si="3"/>
        <v>Bradford/JDG - 2025 GHG Exp
NMin t1 (Sample)
Lab No: 239 -- ID:NMin_3_P15_t1_A</v>
      </c>
      <c r="N60" s="14" t="str">
        <f t="shared" si="4"/>
        <v>Bradford/JDG - 2025 GHG Exp
NMin t1 (Reserve)
Lab No: 239 -- ID:NMin_3_P15_t1_A</v>
      </c>
    </row>
    <row r="61" ht="22.5" customHeight="1">
      <c r="A61" s="5"/>
      <c r="B61" s="7">
        <v>15.0</v>
      </c>
      <c r="C61" s="7" t="s">
        <v>17</v>
      </c>
      <c r="D61" s="5" t="s">
        <v>16</v>
      </c>
      <c r="E61" s="6" t="str">
        <f t="shared" si="1"/>
        <v>NMin_3_P15_t1_B</v>
      </c>
      <c r="F61" s="8">
        <v>240.0</v>
      </c>
      <c r="G61" s="9">
        <v>45944.0</v>
      </c>
      <c r="H61" s="8">
        <v>10.174</v>
      </c>
      <c r="I61" s="8">
        <v>7.086</v>
      </c>
      <c r="J61" s="7">
        <f t="shared" si="2"/>
        <v>17.26</v>
      </c>
      <c r="K61" s="11"/>
      <c r="L61" s="12"/>
      <c r="M61" s="15" t="str">
        <f t="shared" si="3"/>
        <v>Bradford/JDG - 2025 GHG Exp
NMin t1 (Sample)
Lab No: 240 -- ID:NMin_3_P15_t1_B</v>
      </c>
      <c r="N61" s="16" t="str">
        <f t="shared" si="4"/>
        <v>Bradford/JDG - 2025 GHG Exp
NMin t1 (Reserve)
Lab No: 240 -- ID:NMin_3_P15_t1_B</v>
      </c>
    </row>
  </sheetData>
  <dataValidations>
    <dataValidation type="custom" allowBlank="1" showDropDown="1" sqref="G2:G61">
      <formula1>OR(NOT(ISERROR(DATEVALUE(G2))), AND(ISNUMBER(G2), LEFT(CELL("format", G2))="D"))</formula1>
    </dataValidation>
    <dataValidation type="custom" allowBlank="1" showDropDown="1" sqref="B2:B61 J2:K6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