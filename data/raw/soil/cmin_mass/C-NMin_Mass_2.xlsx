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<sst xmlns="http://schemas.openxmlformats.org/spreadsheetml/2006/main" count="298" uniqueCount="33">
  <si>
    <t>Sampling_Date</t>
  </si>
  <si>
    <t>Plot</t>
  </si>
  <si>
    <t>Timepoint</t>
  </si>
  <si>
    <t>Replicate</t>
  </si>
  <si>
    <t>sort</t>
  </si>
  <si>
    <t>Sample_ID</t>
  </si>
  <si>
    <t>Lab_No</t>
  </si>
  <si>
    <t>Date_Weighed</t>
  </si>
  <si>
    <t>Mass_Tube_g</t>
  </si>
  <si>
    <t>Mass_Soil_g</t>
  </si>
  <si>
    <t>Initial GWC</t>
  </si>
  <si>
    <t>Target_Mass_Water_To_Add_g</t>
  </si>
  <si>
    <t>Mass_Water_Added_g</t>
  </si>
  <si>
    <t>Label - Sample</t>
  </si>
  <si>
    <t>Label - Reserve</t>
  </si>
  <si>
    <t>21-07-2025</t>
  </si>
  <si>
    <t>t0</t>
  </si>
  <si>
    <t>A</t>
  </si>
  <si>
    <t>22-07-2025</t>
  </si>
  <si>
    <t>t1</t>
  </si>
  <si>
    <t>B</t>
  </si>
  <si>
    <t>C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</si>
  <si>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</si>
  <si>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</si>
  <si>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</si>
  <si>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</si>
  <si>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</si>
  <si>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</si>
  <si>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</si>
  <si>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</si>
  <si>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</si>
  <si>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COUNTA of Replicate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</si>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</sst>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0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70" sheet="Sheet1"/>
  </cacheSource>
  <cacheFields>
    <cacheField name="Sampling_Date" numFmtId="0">
      <sharedItems>
        <s v="21-07-2025"/>
      </sharedItems>
    </cacheField>
    <cacheField name="Plot" numFmtId="0">
      <sharedItems containsSemiMixedTypes="0" containsString="0" containsNumber="1" containsInteger="1">
        <n v="15.0"/>
        <n v="14.0"/>
        <n v="8.0"/>
        <n v="13.0"/>
        <n v="12.0"/>
        <n v="11.0"/>
        <n v="4.0"/>
        <n v="10.0"/>
        <n v="5.0"/>
        <n v="6.0"/>
        <n v="3.0"/>
        <n v="2.0"/>
        <n v="1.0"/>
        <n v="9.0"/>
        <n v="7.0"/>
      </sharedItems>
    </cacheField>
    <cacheField name="Timepoint" numFmtId="0">
      <sharedItems>
        <s v="t0"/>
        <s v="t1"/>
      </sharedItems>
    </cacheField>
    <cacheField name="Replicate" numFmtId="0">
      <sharedItems>
        <s v="A"/>
        <s v="B"/>
        <s v="C"/>
      </sharedItems>
    </cacheField>
    <cacheField name="sort" numFmtId="0">
      <sharedItems>
        <b v="1"/>
        <b v="0"/>
        <e v="#VALUE!"/>
      </sharedItems>
    </cacheField>
    <cacheField name="Sample_ID" numFmtId="0">
      <sharedItems>
        <s v="NMin_2_P15_t0_A"/>
        <s v="NMin_2_P14_t1_B"/>
        <s v="NMin_2_P14_t0_A"/>
        <s v="NMin_2_P15_t1_B"/>
        <s v="NMin_2_P8_t0_B"/>
        <s v="NMin_2_P13_t1_A"/>
        <s v="NMin_2_P12_t0_A"/>
        <s v="NMin_2_P11_t1_A"/>
        <s v="NMin_2_P11_t0_A"/>
        <s v="NMin_2_P4_t0_B"/>
        <s v="NMin_2_P12_t1_B"/>
        <s v="NMin_2_P4_t0_A"/>
        <s v="NMin_2_P10_t1_B"/>
        <s v="NMin_2_P5_t1_B"/>
        <s v="NMin_2_P10_t0_A"/>
        <s v="NMin_2_P8_t1_A"/>
        <s v="NMin_2_P13_t0_B"/>
        <s v="NMin_2_P6_t0_B"/>
        <s v="NMin_2_P5_t1_A"/>
        <s v="NMin_2_P3_t0_A"/>
        <s v="NMin_2_P2_t1_B"/>
        <s v="NMin_2_P6_t0_A"/>
        <s v="NMin_2_P1_t1_A"/>
        <s v="NMin_2_P1_t0_B"/>
        <s v="NMin_2_P2_t1_A"/>
        <s v="NMin_2_P11_t0_B"/>
        <s v="NMin_2_P10_t0_B"/>
        <s v="NMin_2_P9_t1_B"/>
        <s v="NMin_2_P14_t1_A"/>
        <s v="NMin_2_P15_t1_A"/>
        <s v="NMin_2_P12_t0_B"/>
        <s v="NMin_2_P9_t1_A"/>
        <s v="NMin_2_P9_t0_A"/>
        <s v="NMin_2_P7_t1_A"/>
        <s v="NMin_2_P7_t0_B"/>
        <s v="NMin_2_P7_t1_B"/>
        <s v="NMin_2_P10_t1_A"/>
        <s v="NMin_2_P5_t0_A"/>
        <s v="NMin_2_P6_t1_A"/>
        <s v="NMin_2_P7_t0_A"/>
        <s v="NMin_2_P2_t0_A"/>
        <s v="NMin_2_P3_t1_B"/>
        <s v="NMin_2_P3_t0_B"/>
        <s v="NMin_2_P1_t1_B"/>
        <s v="NMin_2_P2_t0_B"/>
        <s v="NMin_2_P3_t1_A"/>
        <s v="NMin_2_P1_t0_C"/>
        <s v="NMin_2_P5_t0_C"/>
        <s v="NMin_2_P9_t0_C"/>
        <s v="NMin_2_P14_t0_C"/>
        <s v="NMin_2_P15_t0_C"/>
        <s v="NMin_2_P4_t1_C"/>
        <s v="NMin_2_P6_t1_C"/>
        <s v="NMin_2_P11_t1_C"/>
        <s v="NMin_2_P12_t1_C"/>
      </sharedItems>
    </cacheField>
    <cacheField name="Lab_No">
      <sharedItems containsMixedTypes="1" containsNumber="1" containsInteger="1"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s v="x1"/>
        <s v="x2"/>
        <s v="x3"/>
        <s v="x4"/>
        <s v="x5"/>
        <s v="x6"/>
        <s v="x7"/>
        <s v="x8"/>
        <s v="x9"/>
      </sharedItems>
    </cacheField>
    <cacheField name="Date_Weighed">
      <sharedItems containsDate="1" containsMixedTypes="1">
        <s v="22-07-2025"/>
        <d v="2025-08-05T00:00:00Z"/>
      </sharedItems>
    </cacheField>
    <cacheField name="Mass_Tube_g" numFmtId="0">
      <sharedItems containsSemiMixedTypes="0" containsString="0" containsNumber="1">
        <n v="10.2772"/>
        <n v="10.215"/>
        <n v="10.2638"/>
        <n v="10.2223"/>
        <n v="10.2531"/>
        <n v="10.2502"/>
        <n v="10.2543"/>
        <n v="10.2684"/>
        <n v="10.2232"/>
        <n v="10.2433"/>
        <n v="10.2471"/>
        <n v="10.2341"/>
        <n v="10.2258"/>
        <n v="10.237"/>
        <n v="10.2094"/>
        <n v="10.2049"/>
        <n v="10.2452"/>
        <n v="10.2157"/>
        <n v="10.2489"/>
        <n v="10.263"/>
        <n v="10.189"/>
        <n v="10.7206"/>
        <n v="10.1907"/>
        <n v="10.2031"/>
        <n v="10.1986"/>
        <n v="10.19"/>
        <n v="10.2055"/>
        <n v="10.1953"/>
        <n v="10.2097"/>
        <n v="10.2499"/>
        <n v="10.1442"/>
        <n v="10.2268"/>
        <n v="10.1663"/>
        <n v="10.2418"/>
        <n v="10.2047"/>
        <n v="10.1771"/>
        <n v="10.2237"/>
        <n v="10.1443"/>
        <n v="10.2342"/>
        <n v="10.2609"/>
        <n v="10.164"/>
        <n v="10.2466"/>
        <n v="10.2088"/>
        <n v="10.2507"/>
        <n v="10.1846"/>
        <n v="10.2274"/>
        <n v="10.1506"/>
        <n v="10.2227"/>
        <n v="10.1872"/>
        <n v="10.1882"/>
        <n v="10.2486"/>
        <n v="10.3636"/>
        <n v="10.3608"/>
        <n v="10.206"/>
        <n v="10.1468"/>
        <n v="10.2102"/>
        <n v="10.3004"/>
        <n v="10.153"/>
        <n v="10.1715"/>
        <n v="10.5274"/>
        <n v="10.6558"/>
        <n v="10.7008"/>
        <n v="10.6021"/>
        <n v="10.614"/>
        <n v="10.5451"/>
        <n v="10.7245"/>
        <n v="10.6063"/>
        <n v="10.5757"/>
      </sharedItems>
    </cacheField>
    <cacheField name="Mass_Soil_g" numFmtId="0">
      <sharedItems containsSemiMixedTypes="0" containsString="0" containsNumber="1">
        <n v="7.0616"/>
        <n v="7.3657"/>
        <n v="7.824"/>
        <n v="7.0429"/>
        <n v="7.4814"/>
        <n v="7.1526"/>
        <n v="7.3524"/>
        <n v="7.2789"/>
        <n v="7.1685"/>
        <n v="7.5693"/>
        <n v="7.1709"/>
        <n v="7.2383"/>
        <n v="7.1928"/>
        <n v="7.235"/>
        <n v="7.0985"/>
        <n v="7.1868"/>
        <n v="7.0163"/>
        <n v="7.3005"/>
        <n v="7.1896"/>
        <n v="7.4657"/>
        <n v="7.0294"/>
        <n v="6.999"/>
        <n v="7.362"/>
        <n v="7.1649"/>
        <n v="7.1827"/>
        <n v="7.5846"/>
        <n v="7.3146"/>
        <n v="7.2241"/>
        <n v="7.2292"/>
        <n v="7.2605"/>
        <n v="7.0038"/>
        <n v="7.1991"/>
        <n v="7.3118"/>
        <n v="7.2256"/>
        <n v="7.1249"/>
        <n v="7.1851"/>
        <n v="7.0367"/>
        <n v="7.4135"/>
        <n v="7.9931"/>
        <n v="7.3281"/>
        <n v="7.2999"/>
        <n v="7.3598"/>
        <n v="7.4093"/>
        <n v="7.757"/>
        <n v="7.288"/>
        <n v="7.1043"/>
        <n v="7.1432"/>
        <n v="7.014"/>
        <n v="7.2379"/>
        <n v="7.2007"/>
        <n v="7.6234"/>
        <n v="7.4803"/>
        <n v="7.1016"/>
        <n v="7.2711"/>
        <n v="7.4383"/>
        <n v="7.1683"/>
        <n v="7.1218"/>
        <n v="7.1498"/>
        <n v="7.5896"/>
        <n v="7.4766"/>
        <n v="7.7228"/>
        <n v="7.27"/>
        <n v="7.5766"/>
        <n v="7.1949"/>
        <n v="7.8051"/>
        <n v="7.1064"/>
        <n v="7.5601"/>
        <n v="7.3082"/>
        <n v="7.2738"/>
      </sharedItems>
    </cacheField>
    <cacheField name="Initial GWC" numFmtId="10">
      <sharedItems containsSemiMixedTypes="0" containsString="0" containsNumber="1">
        <n v="0.12562814070351758"/>
        <n v="0.11643835616438351"/>
        <n v="0.1150234741784038"/>
        <n v="0.1250000000000001"/>
        <n v="0.11830985915492968"/>
        <n v="0.1286173633440514"/>
        <n v="0.13538461538461538"/>
        <n v="0.12826603325415678"/>
        <n v="0.12068965517241363"/>
        <n v="0.1398809523809526"/>
        <n v="0.11660777385159013"/>
        <n v="0.12616822429906543"/>
        <n v="0.11549295774647891"/>
        <n v="0.11976047904191613"/>
        <n v="0.11714285714285705"/>
        <n v="0.128415300546448"/>
        <n v="0.12112676056338033"/>
        <n v="0.11575562700964658"/>
        <n v="0.13744075829383864"/>
        <n v="0.10757946210268958"/>
        <n v="0.1247216035634743"/>
        <n v="0.11835748792270513"/>
        <n v="0.11999999999999995"/>
        <n v="0.10876132930513606"/>
        <n v="0.12128712871287159"/>
        <n v="0.10839160839160841"/>
        <n v="0.10489510489510499"/>
        <n v="0.11212121212121201"/>
        <n v="0.11594202898550722"/>
        <n v="0.1362397820163488"/>
      </sharedItems>
    </cacheField>
    <cacheField name="Target_Mass_Water_To_Add_g" numFmtId="4">
      <sharedItems containsSemiMixedTypes="0" containsString="0" containsNumber="1">
        <n v="1.8036938961104152"/>
        <n v="1.882216777724567"/>
        <n v="1.9994687050106705"/>
        <n v="1.7989729588014987"/>
        <n v="1.9116069467109353"/>
        <n v="1.8266693005780361"/>
        <n v="1.8770715154867252"/>
        <n v="1.8589565338995122"/>
        <n v="1.830761504246336"/>
        <n v="1.9334316853932592"/>
        <n v="1.8320556638539678"/>
        <n v="1.847533749219843"/>
        <n v="1.8380189630466255"/>
        <n v="1.8479352219162744"/>
        <n v="1.8137704054358235"/>
        <n v="1.8365862243605982"/>
        <n v="1.7926394718899532"/>
        <n v="1.865491196027512"/>
        <n v="1.8361367729964257"/>
        <n v="1.9077046260095312"/>
        <n v="1.7958660411332774"/>
        <n v="1.7885708922148007"/>
        <n v="1.8793326423399108"/>
        <n v="1.8317008052461903"/>
        <n v="1.8347072450840836"/>
        <n v="1.938243985819195"/>
        <n v="1.868768823833305"/>
        <n v="1.8458587246978233"/>
        <n v="1.8470129444666403"/>
        <n v="1.856033237264608"/>
        <n v="1.7893116873099473"/>
        <n v="1.8396441349114045"/>
        <n v="1.8679986857524309"/>
        <n v="1.8453124315992309"/>
        <n v="1.8198139132869748"/>
        <n v="1.8367917264503522"/>
        <n v="1.7970879646355762"/>
        <n v="1.8945630425097901"/>
        <n v="2.040642556231564"/>
        <n v="1.8717640818067762"/>
        <n v="1.8632567890153657"/>
        <n v="1.8817746405867979"/>
        <n v="1.8944309416695777"/>
        <n v="1.9826288101219856"/>
        <n v="1.862406832657788"/>
        <n v="1.8154633453966422"/>
        <n v="1.8249395830402637"/>
        <n v="1.7920518301435413"/>
        <n v="1.849620983106373"/>
        <n v="1.839305060726045"/>
        <n v="1.948481690226112"/>
        <n v="1.9122563570954583"/>
        <n v="1.8147140846362904"/>
        <n v="1.857867882940483"/>
        <n v="1.9014850256518603"/>
        <n v="1.829993844081633"/>
        <n v="1.8181228685714288"/>
        <n v="1.8267267678785464"/>
        <n v="1.9402750117233305"/>
        <n v="1.908587127644469"/>
        <n v="1.9732835590725974"/>
        <n v="1.857824030061666"/>
        <n v="1.9372066825008742"/>
        <n v="1.8386985411146801"/>
        <n v="1.9936007744040163"/>
        <n v="1.8159406571842043"/>
        <n v="1.9311081130438659"/>
        <n v="1.8664394539071028"/>
        <n v="1.8570048949115048"/>
      </sharedItems>
    </cacheField>
    <cacheField name="Mass_Water_Added_g" numFmtId="0">
      <sharedItems containsString="0" containsBlank="1" containsNumber="1">
        <m/>
        <n v="1.91"/>
        <n v="1.92"/>
        <n v="1.89"/>
        <n v="1.93"/>
        <n v="2.26"/>
        <n v="2.03"/>
        <n v="1.94"/>
        <n v="1.99"/>
        <n v="2.04"/>
        <n v="1.9"/>
        <n v="1.86"/>
        <n v="1.85"/>
        <n v="2.13"/>
        <n v="1.9052"/>
        <n v="2.043"/>
        <n v="1.9074"/>
        <n v="1.9166"/>
      </sharedItems>
    </cacheField>
    <cacheField name="Label - Sample" numFmtId="0">
      <sharedItems>
        <s v="Bradford/JDG - 2025 GHG Exp&#10;NMin t0 (Sample)&#10;Lab No: 61 -- ID:NMin_2_P15_t0_A"/>
        <s v="Bradford/JDG - 2025 GHG Exp&#10;NMin t1 (Sample)&#10;Lab No: 62 -- ID:NMin_2_P14_t1_B"/>
        <s v="Bradford/JDG - 2025 GHG Exp&#10;NMin t0 (Sample)&#10;Lab No: 63 -- ID:NMin_2_P14_t0_A"/>
        <s v="Bradford/JDG - 2025 GHG Exp&#10;NMin t1 (Sample)&#10;Lab No: 64 -- ID:NMin_2_P15_t1_B"/>
        <s v="Bradford/JDG - 2025 GHG Exp&#10;NMin t0 (Sample)&#10;Lab No: 65 -- ID:NMin_2_P8_t0_B"/>
        <s v="Bradford/JDG - 2025 GHG Exp&#10;NMin t1 (Sample)&#10;Lab No: 66 -- ID:NMin_2_P13_t1_A"/>
        <s v="Bradford/JDG - 2025 GHG Exp&#10;NMin t0 (Sample)&#10;Lab No: 67 -- ID:NMin_2_P12_t0_A"/>
        <s v="Bradford/JDG - 2025 GHG Exp&#10;NMin t1 (Sample)&#10;Lab No: 68 -- ID:NMin_2_P11_t1_A"/>
        <s v="Bradford/JDG - 2025 GHG Exp&#10;NMin t0 (Sample)&#10;Lab No: 69 -- ID:NMin_2_P11_t0_A"/>
        <s v="Bradford/JDG - 2025 GHG Exp&#10;NMin t1 (Sample)&#10;Lab No: 70 -- ID:NMin_2_P15_t1_B"/>
        <s v="Bradford/JDG - 2025 GHG Exp&#10;NMin t0 (Sample)&#10;Lab No: 71 -- ID:NMin_2_P4_t0_B"/>
        <s v="Bradford/JDG - 2025 GHG Exp&#10;NMin t1 (Sample)&#10;Lab No: 72 -- ID:NMin_2_P12_t1_B"/>
        <s v="Bradford/JDG - 2025 GHG Exp&#10;NMin t0 (Sample)&#10;Lab No: 73 -- ID:NMin_2_P4_t0_A"/>
        <s v="Bradford/JDG - 2025 GHG Exp&#10;NMin t1 (Sample)&#10;Lab No: 74 -- ID:NMin_2_P10_t1_B"/>
        <s v="Bradford/JDG - 2025 GHG Exp&#10;NMin t0 (Sample)&#10;Lab No: 75 -- ID:NMin_2_P8_t0_B"/>
        <s v="Bradford/JDG - 2025 GHG Exp&#10;NMin t1 (Sample)&#10;Lab No: 76 -- ID:NMin_2_P5_t1_B"/>
        <s v="Bradford/JDG - 2025 GHG Exp&#10;NMin t0 (Sample)&#10;Lab No: 77 -- ID:NMin_2_P10_t0_A"/>
        <s v="Bradford/JDG - 2025 GHG Exp&#10;NMin t1 (Sample)&#10;Lab No: 78 -- ID:NMin_2_P8_t1_A"/>
        <s v="Bradford/JDG - 2025 GHG Exp&#10;NMin t0 (Sample)&#10;Lab No: 79 -- ID:NMin_2_P13_t0_B"/>
        <s v="Bradford/JDG - 2025 GHG Exp&#10;NMin t1 (Sample)&#10;Lab No: 80 -- ID:NMin_2_P8_t1_A"/>
        <s v="Bradford/JDG - 2025 GHG Exp&#10;NMin t0 (Sample)&#10;Lab No: 81 -- ID:NMin_2_P6_t0_B"/>
        <s v="Bradford/JDG - 2025 GHG Exp&#10;NMin t1 (Sample)&#10;Lab No: 82 -- ID:NMin_2_P5_t1_A"/>
        <s v="Bradford/JDG - 2025 GHG Exp&#10;NMin t0 (Sample)&#10;Lab No: 83 -- ID:NMin_2_P3_t0_A"/>
        <s v="Bradford/JDG - 2025 GHG Exp&#10;NMin t1 (Sample)&#10;Lab No: 84 -- ID:NMin_2_P2_t1_B"/>
        <s v="Bradford/JDG - 2025 GHG Exp&#10;NMin t0 (Sample)&#10;Lab No: 85 -- ID:NMin_2_P6_t0_A"/>
        <s v="Bradford/JDG - 2025 GHG Exp&#10;NMin t1 (Sample)&#10;Lab No: 86 -- ID:NMin_2_P5_t1_B"/>
        <s v="Bradford/JDG - 2025 GHG Exp&#10;NMin t0 (Sample)&#10;Lab No: 87 -- ID:NMin_2_P4_t0_B"/>
        <s v="Bradford/JDG - 2025 GHG Exp&#10;NMin t1 (Sample)&#10;Lab No: 88 -- ID:NMin_2_P1_t1_A"/>
        <s v="Bradford/JDG - 2025 GHG Exp&#10;NMin t0 (Sample)&#10;Lab No: 89 -- ID:NMin_2_P1_t0_B"/>
        <s v="Bradford/JDG - 2025 GHG Exp&#10;NMin t1 (Sample)&#10;Lab No: 90 -- ID:NMin_2_P2_t1_A"/>
        <s v="Bradford/JDG - 2025 GHG Exp&#10;NMin t0 (Sample)&#10;Lab No: 91 -- ID:NMin_2_P11_t0_B"/>
        <s v="Bradford/JDG - 2025 GHG Exp&#10;NMin t1 (Sample)&#10;Lab No: 92 -- ID:NMin_2_P14_t1_B"/>
        <s v="Bradford/JDG - 2025 GHG Exp&#10;NMin t0 (Sample)&#10;Lab No: 93 -- ID:NMin_2_P11_t0_B"/>
        <s v="Bradford/JDG - 2025 GHG Exp&#10;NMin t1 (Sample)&#10;Lab No: 94 -- ID:NMin_2_P13_t1_A"/>
        <s v="Bradford/JDG - 2025 GHG Exp&#10;NMin t0 (Sample)&#10;Lab No: 95 -- ID:NMin_2_P10_t0_B"/>
        <s v="Bradford/JDG - 2025 GHG Exp&#10;NMin t1 (Sample)&#10;Lab No: 96 -- ID:NMin_2_P9_t1_B"/>
        <s v="Bradford/JDG - 2025 GHG Exp&#10;NMin t0 (Sample)&#10;Lab No: 97 -- ID:NMin_2_P13_t0_B"/>
        <s v="Bradford/JDG - 2025 GHG Exp&#10;NMin t1 (Sample)&#10;Lab No: 98 -- ID:NMin_2_P14_t1_A"/>
        <s v="Bradford/JDG - 2025 GHG Exp&#10;NMin t0 (Sample)&#10;Lab No: 99 -- ID:NMin_2_P12_t0_A"/>
        <s v="Bradford/JDG - 2025 GHG Exp&#10;NMin t1 (Sample)&#10;Lab No: 100 -- ID:NMin_2_P15_t1_A"/>
        <s v="Bradford/JDG - 2025 GHG Exp&#10;NMin t0 (Sample)&#10;Lab No: 101 -- ID:NMin_2_P12_t0_B"/>
        <s v="Bradford/JDG - 2025 GHG Exp&#10;NMin t1 (Sample)&#10;Lab No: 102 -- ID:NMin_2_P9_t1_A"/>
        <s v="Bradford/JDG - 2025 GHG Exp&#10;NMin t0 (Sample)&#10;Lab No: 103 -- ID:NMin_2_P9_t0_A"/>
        <s v="Bradford/JDG - 2025 GHG Exp&#10;NMin t1 (Sample)&#10;Lab No: 104 -- ID:NMin_2_P7_t1_A"/>
        <s v="Bradford/JDG - 2025 GHG Exp&#10;NMin t0 (Sample)&#10;Lab No: 105 -- ID:NMin_2_P7_t0_B"/>
        <s v="Bradford/JDG - 2025 GHG Exp&#10;NMin t1 (Sample)&#10;Lab No: 106 -- ID:NMin_2_P7_t1_B"/>
        <s v="Bradford/JDG - 2025 GHG Exp&#10;NMin t0 (Sample)&#10;Lab No: 107 -- ID:NMin_2_P6_t0_B"/>
        <s v="Bradford/JDG - 2025 GHG Exp&#10;NMin t1 (Sample)&#10;Lab No: 108 -- ID:NMin_2_P10_t1_A"/>
        <s v="Bradford/JDG - 2025 GHG Exp&#10;NMin t0 (Sample)&#10;Lab No: 109 -- ID:NMin_2_P5_t0_A"/>
        <s v="Bradford/JDG - 2025 GHG Exp&#10;NMin t1 (Sample)&#10;Lab No: 110 -- ID:NMin_2_P6_t1_A"/>
        <s v="Bradford/JDG - 2025 GHG Exp&#10;NMin t0 (Sample)&#10;Lab No: 111 -- ID:NMin_2_P7_t0_A"/>
        <s v="Bradford/JDG - 2025 GHG Exp&#10;NMin t1 (Sample)&#10;Lab No: 112 -- ID:NMin_2_P9_t1_B"/>
        <s v="Bradford/JDG - 2025 GHG Exp&#10;NMin t0 (Sample)&#10;Lab No: 113 -- ID:NMin_2_P4_t0_A"/>
        <s v="Bradford/JDG - 2025 GHG Exp&#10;NMin t1 (Sample)&#10;Lab No: 114 -- ID:NMin_2_P1_t1_A"/>
        <s v="Bradford/JDG - 2025 GHG Exp&#10;NMin t0 (Sample)&#10;Lab No: 115 -- ID:NMin_2_P2_t0_A"/>
        <s v="Bradford/JDG - 2025 GHG Exp&#10;NMin t1 (Sample)&#10;Lab No: 116 -- ID:NMin_2_P3_t1_B"/>
        <s v="Bradford/JDG - 2025 GHG Exp&#10;NMin t0 (Sample)&#10;Lab No: 117 -- ID:NMin_2_P3_t0_B"/>
        <s v="Bradford/JDG - 2025 GHG Exp&#10;NMin t1 (Sample)&#10;Lab No: 118 -- ID:NMin_2_P1_t1_B"/>
        <s v="Bradford/JDG - 2025 GHG Exp&#10;NMin t0 (Sample)&#10;Lab No: 119 -- ID:NMin_2_P2_t0_B"/>
        <s v="Bradford/JDG - 2025 GHG Exp&#10;NMin t1 (Sample)&#10;Lab No: 120 -- ID:NMin_2_P3_t1_A"/>
        <s v="Bradford/JDG - 2025 GHG Exp&#10;NMin t0 (Sample)&#10;Lab No: x1 -- ID:NMin_2_P1_t0_C"/>
        <s v="Bradford/JDG - 2025 GHG Exp&#10;NMin t0 (Sample)&#10;Lab No: x2 -- ID:NMin_2_P5_t0_C"/>
        <s v="Bradford/JDG - 2025 GHG Exp&#10;NMin t0 (Sample)&#10;Lab No: x3 -- ID:NMin_2_P9_t0_C"/>
        <s v="Bradford/JDG - 2025 GHG Exp&#10;NMin t0 (Sample)&#10;Lab No: x4 -- ID:NMin_2_P14_t0_C"/>
        <s v="Bradford/JDG - 2025 GHG Exp&#10;NMin t0 (Sample)&#10;Lab No: x5 -- ID:NMin_2_P15_t0_C"/>
        <s v="Bradford/JDG - 2025 GHG Exp&#10;NMin t1 (Sample)&#10;Lab No: x6 -- ID:NMin_2_P4_t1_C"/>
        <s v="Bradford/JDG - 2025 GHG Exp&#10;NMin t1 (Sample)&#10;Lab No: x7 -- ID:NMin_2_P6_t1_C"/>
        <s v="Bradford/JDG - 2025 GHG Exp&#10;NMin t1 (Sample)&#10;Lab No: x8 -- ID:NMin_2_P11_t1_C"/>
        <s v="Bradford/JDG - 2025 GHG Exp&#10;NMin t1 (Sample)&#10;Lab No: x9 -- ID:NMin_2_P12_t1_C"/>
      </sharedItems>
    </cacheField>
    <cacheField name="Label - Reserve" numFmtId="0">
      <sharedItems>
        <s v="Bradford/JDG - 2025 GHG Exp&#10;NMin t0 (Reserve)&#10;Lab No: 61 -- ID:NMin_2_P15_t0_A"/>
        <s v="Bradford/JDG - 2025 GHG Exp&#10;NMin t1 (Reserve)&#10;Lab No: 62 -- ID:NMin_2_P14_t1_B"/>
        <s v="Bradford/JDG - 2025 GHG Exp&#10;NMin t0 (Reserve)&#10;Lab No: 63 -- ID:NMin_2_P14_t0_A"/>
        <s v="Bradford/JDG - 2025 GHG Exp&#10;NMin t1 (Reserve)&#10;Lab No: 64 -- ID:NMin_2_P15_t1_B"/>
        <s v="Bradford/JDG - 2025 GHG Exp&#10;NMin t0 (Reserve)&#10;Lab No: 65 -- ID:NMin_2_P8_t0_B"/>
        <s v="Bradford/JDG - 2025 GHG Exp&#10;NMin t1 (Reserve)&#10;Lab No: 66 -- ID:NMin_2_P13_t1_A"/>
        <s v="Bradford/JDG - 2025 GHG Exp&#10;NMin t0 (Reserve)&#10;Lab No: 67 -- ID:NMin_2_P12_t0_A"/>
        <s v="Bradford/JDG - 2025 GHG Exp&#10;NMin t1 (Reserve)&#10;Lab No: 68 -- ID:NMin_2_P11_t1_A"/>
        <s v="Bradford/JDG - 2025 GHG Exp&#10;NMin t0 (Reserve)&#10;Lab No: 69 -- ID:NMin_2_P11_t0_A"/>
        <s v="Bradford/JDG - 2025 GHG Exp&#10;NMin t1 (Reserve)&#10;Lab No: 70 -- ID:NMin_2_P15_t1_B"/>
        <s v="Bradford/JDG - 2025 GHG Exp&#10;NMin t0 (Reserve)&#10;Lab No: 71 -- ID:NMin_2_P4_t0_B"/>
        <s v="Bradford/JDG - 2025 GHG Exp&#10;NMin t1 (Reserve)&#10;Lab No: 72 -- ID:NMin_2_P12_t1_B"/>
        <s v="Bradford/JDG - 2025 GHG Exp&#10;NMin t0 (Reserve)&#10;Lab No: 73 -- ID:NMin_2_P4_t0_A"/>
        <s v="Bradford/JDG - 2025 GHG Exp&#10;NMin t1 (Reserve)&#10;Lab No: 74 -- ID:NMin_2_P10_t1_B"/>
        <s v="Bradford/JDG - 2025 GHG Exp&#10;NMin t0 (Reserve)&#10;Lab No: 75 -- ID:NMin_2_P8_t0_B"/>
        <s v="Bradford/JDG - 2025 GHG Exp&#10;NMin t1 (Reserve)&#10;Lab No: 76 -- ID:NMin_2_P5_t1_B"/>
        <s v="Bradford/JDG - 2025 GHG Exp&#10;NMin t0 (Reserve)&#10;Lab No: 77 -- ID:NMin_2_P10_t0_A"/>
        <s v="Bradford/JDG - 2025 GHG Exp&#10;NMin t1 (Reserve)&#10;Lab No: 78 -- ID:NMin_2_P8_t1_A"/>
        <s v="Bradford/JDG - 2025 GHG Exp&#10;NMin t0 (Reserve)&#10;Lab No: 79 -- ID:NMin_2_P13_t0_B"/>
        <s v="Bradford/JDG - 2025 GHG Exp&#10;NMin t1 (Reserve)&#10;Lab No: 80 -- ID:NMin_2_P8_t1_A"/>
        <s v="Bradford/JDG - 2025 GHG Exp&#10;NMin t0 (Reserve)&#10;Lab No: 81 -- ID:NMin_2_P6_t0_B"/>
        <s v="Bradford/JDG - 2025 GHG Exp&#10;NMin t1 (Reserve)&#10;Lab No: 82 -- ID:NMin_2_P5_t1_A"/>
        <s v="Bradford/JDG - 2025 GHG Exp&#10;NMin t0 (Reserve)&#10;Lab No: 83 -- ID:NMin_2_P3_t0_A"/>
        <s v="Bradford/JDG - 2025 GHG Exp&#10;NMin t1 (Reserve)&#10;Lab No: 84 -- ID:NMin_2_P2_t1_B"/>
        <s v="Bradford/JDG - 2025 GHG Exp&#10;NMin t0 (Reserve)&#10;Lab No: 85 -- ID:NMin_2_P6_t0_A"/>
        <s v="Bradford/JDG - 2025 GHG Exp&#10;NMin t1 (Reserve)&#10;Lab No: 86 -- ID:NMin_2_P5_t1_B"/>
        <s v="Bradford/JDG - 2025 GHG Exp&#10;NMin t0 (Reserve)&#10;Lab No: 87 -- ID:NMin_2_P4_t0_B"/>
        <s v="Bradford/JDG - 2025 GHG Exp&#10;NMin t1 (Reserve)&#10;Lab No: 88 -- ID:NMin_2_P1_t1_A"/>
        <s v="Bradford/JDG - 2025 GHG Exp&#10;NMin t0 (Reserve)&#10;Lab No: 89 -- ID:NMin_2_P1_t0_B"/>
        <s v="Bradford/JDG - 2025 GHG Exp&#10;NMin t1 (Reserve)&#10;Lab No: 90 -- ID:NMin_2_P2_t1_A"/>
        <s v="Bradford/JDG - 2025 GHG Exp&#10;NMin t0 (Reserve)&#10;Lab No: 91 -- ID:NMin_2_P11_t0_B"/>
        <s v="Bradford/JDG - 2025 GHG Exp&#10;NMin t1 (Reserve)&#10;Lab No: 92 -- ID:NMin_2_P14_t1_B"/>
        <s v="Bradford/JDG - 2025 GHG Exp&#10;NMin t0 (Reserve)&#10;Lab No: 93 -- ID:NMin_2_P11_t0_B"/>
        <s v="Bradford/JDG - 2025 GHG Exp&#10;NMin t1 (Reserve)&#10;Lab No: 94 -- ID:NMin_2_P13_t1_A"/>
        <s v="Bradford/JDG - 2025 GHG Exp&#10;NMin t0 (Reserve)&#10;Lab No: 95 -- ID:NMin_2_P10_t0_B"/>
        <s v="Bradford/JDG - 2025 GHG Exp&#10;NMin t1 (Reserve)&#10;Lab No: 96 -- ID:NMin_2_P9_t1_B"/>
        <s v="Bradford/JDG - 2025 GHG Exp&#10;NMin t0 (Reserve)&#10;Lab No: 97 -- ID:NMin_2_P13_t0_B"/>
        <s v="Bradford/JDG - 2025 GHG Exp&#10;NMin t1 (Reserve)&#10;Lab No: 98 -- ID:NMin_2_P14_t1_A"/>
        <s v="Bradford/JDG - 2025 GHG Exp&#10;NMin t0 (Reserve)&#10;Lab No: 99 -- ID:NMin_2_P12_t0_A"/>
        <s v="Bradford/JDG - 2025 GHG Exp&#10;NMin t1 (Reserve)&#10;Lab No: 100 -- ID:NMin_2_P15_t1_A"/>
        <s v="Bradford/JDG - 2025 GHG Exp&#10;NMin t0 (Reserve)&#10;Lab No: 101 -- ID:NMin_2_P12_t0_B"/>
        <s v="Bradford/JDG - 2025 GHG Exp&#10;NMin t1 (Reserve)&#10;Lab No: 102 -- ID:NMin_2_P9_t1_A"/>
        <s v="Bradford/JDG - 2025 GHG Exp&#10;NMin t0 (Reserve)&#10;Lab No: 103 -- ID:NMin_2_P9_t0_A"/>
        <s v="Bradford/JDG - 2025 GHG Exp&#10;NMin t1 (Reserve)&#10;Lab No: 104 -- ID:NMin_2_P7_t1_A"/>
        <s v="Bradford/JDG - 2025 GHG Exp&#10;NMin t0 (Reserve)&#10;Lab No: 105 -- ID:NMin_2_P7_t0_B"/>
        <s v="Bradford/JDG - 2025 GHG Exp&#10;NMin t1 (Reserve)&#10;Lab No: 106 -- ID:NMin_2_P7_t1_B"/>
        <s v="Bradford/JDG - 2025 GHG Exp&#10;NMin t0 (Reserve)&#10;Lab No: 107 -- ID:NMin_2_P6_t0_B"/>
        <s v="Bradford/JDG - 2025 GHG Exp&#10;NMin t1 (Reserve)&#10;Lab No: 108 -- ID:NMin_2_P10_t1_A"/>
        <s v="Bradford/JDG - 2025 GHG Exp&#10;NMin t0 (Reserve)&#10;Lab No: 109 -- ID:NMin_2_P5_t0_A"/>
        <s v="Bradford/JDG - 2025 GHG Exp&#10;NMin t1 (Reserve)&#10;Lab No: 110 -- ID:NMin_2_P6_t1_A"/>
        <s v="Bradford/JDG - 2025 GHG Exp&#10;NMin t0 (Reserve)&#10;Lab No: 111 -- ID:NMin_2_P7_t0_A"/>
        <s v="Bradford/JDG - 2025 GHG Exp&#10;NMin t1 (Reserve)&#10;Lab No: 112 -- ID:NMin_2_P9_t1_B"/>
        <s v="Bradford/JDG - 2025 GHG Exp&#10;NMin t0 (Reserve)&#10;Lab No: 113 -- ID:NMin_2_P4_t0_A"/>
        <s v="Bradford/JDG - 2025 GHG Exp&#10;NMin t1 (Reserve)&#10;Lab No: 114 -- ID:NMin_2_P1_t1_A"/>
        <s v="Bradford/JDG - 2025 GHG Exp&#10;NMin t0 (Reserve)&#10;Lab No: 115 -- ID:NMin_2_P2_t0_A"/>
        <s v="Bradford/JDG - 2025 GHG Exp&#10;NMin t1 (Reserve)&#10;Lab No: 116 -- ID:NMin_2_P3_t1_B"/>
        <s v="Bradford/JDG - 2025 GHG Exp&#10;NMin t0 (Reserve)&#10;Lab No: 117 -- ID:NMin_2_P3_t0_B"/>
        <s v="Bradford/JDG - 2025 GHG Exp&#10;NMin t1 (Reserve)&#10;Lab No: 118 -- ID:NMin_2_P1_t1_B"/>
        <s v="Bradford/JDG - 2025 GHG Exp&#10;NMin t0 (Reserve)&#10;Lab No: 119 -- ID:NMin_2_P2_t0_B"/>
        <s v="Bradford/JDG - 2025 GHG Exp&#10;NMin t1 (Reserve)&#10;Lab No: 120 -- ID:NMin_2_P3_t1_A"/>
        <s v="Bradford/JDG - 2025 GHG Exp&#10;NMin t0 (Reserve)&#10;Lab No: x1 -- ID:NMin_2_P1_t0_C"/>
        <s v="Bradford/JDG - 2025 GHG Exp&#10;NMin t0 (Reserve)&#10;Lab No: x2 -- ID:NMin_2_P5_t0_C"/>
        <s v="Bradford/JDG - 2025 GHG Exp&#10;NMin t0 (Reserve)&#10;Lab No: x3 -- ID:NMin_2_P9_t0_C"/>
        <s v="Bradford/JDG - 2025 GHG Exp&#10;NMin t0 (Reserve)&#10;Lab No: x4 -- ID:NMin_2_P14_t0_C"/>
        <s v="Bradford/JDG - 2025 GHG Exp&#10;NMin t0 (Reserve)&#10;Lab No: x5 -- ID:NMin_2_P15_t0_C"/>
        <s v="Bradford/JDG - 2025 GHG Exp&#10;NMin t1 (Reserve)&#10;Lab No: x6 -- ID:NMin_2_P4_t1_C"/>
        <s v="Bradford/JDG - 2025 GHG Exp&#10;NMin t1 (Reserve)&#10;Lab No: x7 -- ID:NMin_2_P6_t1_C"/>
        <s v="Bradford/JDG - 2025 GHG Exp&#10;NMin t1 (Reserve)&#10;Lab No: x8 -- ID:NMin_2_P11_t1_C"/>
        <s v="Bradford/JDG - 2025 GHG Exp&#10;NMin t1 (Reserve)&#10;Lab No: x9 -- ID:NMin_2_P12_t1_C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D18" firstHeaderRow="0" firstDataRow="1" firstDataCol="1"/>
  <pivotFields>
    <pivotField name="Sampling_Date" compact="0" outline="0" multipleItemSelectionAllowed="1" showAll="0">
      <items>
        <item x="0"/>
        <item t="default"/>
      </items>
    </pivotField>
    <pivotField name="Plot" axis="axisRow" compact="0" outline="0" multipleItemSelectionAllowed="1" showAll="0" sortType="ascending">
      <items>
        <item x="12"/>
        <item x="11"/>
        <item x="10"/>
        <item x="6"/>
        <item x="8"/>
        <item x="9"/>
        <item x="14"/>
        <item x="2"/>
        <item x="13"/>
        <item x="7"/>
        <item x="5"/>
        <item x="4"/>
        <item x="3"/>
        <item x="1"/>
        <item x="0"/>
        <item t="default"/>
      </items>
    </pivotField>
    <pivotField name="Timepoint" axis="axisCol" compact="0" outline="0" multipleItemSelectionAllowed="1" showAll="0" sortType="ascending">
      <items>
        <item x="0"/>
        <item x="1"/>
        <item t="default"/>
      </items>
    </pivotField>
    <pivotField name="Replicate" dataField="1" compact="0" outline="0" multipleItemSelectionAllowed="1" showAll="0">
      <items>
        <item x="0"/>
        <item x="1"/>
        <item x="2"/>
        <item t="default"/>
      </items>
    </pivotField>
    <pivotField name="sort" compact="0" outline="0" multipleItemSelectionAllowed="1" showAll="0">
      <items>
        <item x="0"/>
        <item x="1"/>
        <item x="2"/>
        <item t="default"/>
      </items>
    </pivotField>
    <pivotField name="Samp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ab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Date_Weighed" compact="0" outline="0" multipleItemSelectionAllowed="1" showAll="0">
      <items>
        <item x="0"/>
        <item x="1"/>
        <item t="default"/>
      </items>
    </pivotField>
    <pivotField name="Mass_Tube_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Mass_Soil_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Initial GWC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arget_Mass_Water_To_Add_g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Mass_Water_Added_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abel - Samp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Label - Reser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>
    <field x="1"/>
  </rowFields>
  <colFields>
    <field x="2"/>
  </colFields>
  <dataFields>
    <dataField name="COUNTA of Replicate" fld="3" subtotal="count" baseField="0"/>
  </dataFields>
</pivotTableDefinition>
</file>

<file path=xl/tables/table1.xml><?xml version="1.0" encoding="utf-8"?>
<table xmlns="http://schemas.openxmlformats.org/spreadsheetml/2006/main" ref="A1:O70" displayName="Table1" name="Table1" id="1">
  <tableColumns count="15">
    <tableColumn name="Sampling_Date" id="1"/>
    <tableColumn name="Plot" id="2"/>
    <tableColumn name="Timepoint" id="3"/>
    <tableColumn name="Replicate" id="4"/>
    <tableColumn name="sort" id="5"/>
    <tableColumn name="Sample_ID" id="6"/>
    <tableColumn name="Lab_No" id="7"/>
    <tableColumn name="Date_Weighed" id="8"/>
    <tableColumn name="Mass_Tube_g" id="9"/>
    <tableColumn name="Mass_Soil_g" id="10"/>
    <tableColumn name="Initial GWC" id="11"/>
    <tableColumn name="Target_Mass_Water_To_Add_g" id="12"/>
    <tableColumn name="Mass_Water_Added_g" id="13"/>
    <tableColumn name="Label - Sample" id="14"/>
    <tableColumn name="Label - Reserve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1.75"/>
    <col customWidth="1" min="3" max="3" width="13.0"/>
    <col customWidth="1" min="4" max="4" width="12.38"/>
    <col customWidth="1" min="5" max="6" width="16.63"/>
    <col customWidth="1" min="7" max="7" width="14.38"/>
    <col customWidth="1" min="8" max="8" width="19.38"/>
    <col customWidth="1" min="9" max="9" width="15.63"/>
    <col customWidth="1" min="10" max="10" width="14.75"/>
    <col customWidth="1" min="11" max="11" width="12.5"/>
    <col customWidth="1" min="12" max="12" width="31.38"/>
    <col customWidth="1" min="13" max="13" width="22.75"/>
    <col customWidth="1" min="14" max="15" width="3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22.5" customHeight="1">
      <c r="A2" s="4" t="s">
        <v>15</v>
      </c>
      <c r="B2" s="5">
        <v>15.0</v>
      </c>
      <c r="C2" s="5" t="s">
        <v>16</v>
      </c>
      <c r="D2" s="6" t="s">
        <v>17</v>
      </c>
      <c r="E2" s="7" t="b">
        <f t="shared" ref="E2:E70" si="1">isodd(G2)</f>
        <v>1</v>
      </c>
      <c r="F2" s="7" t="str">
        <f t="shared" ref="F2:F70" si="2">"NMin_2_P"&amp;B2&amp;"_"&amp;C2&amp;"_"&amp;D2</f>
        <v>NMin_2_P15_t0_A</v>
      </c>
      <c r="G2" s="5">
        <v>61.0</v>
      </c>
      <c r="H2" s="3" t="s">
        <v>18</v>
      </c>
      <c r="I2" s="4">
        <v>10.2772</v>
      </c>
      <c r="J2" s="4">
        <v>7.0616</v>
      </c>
      <c r="K2" s="8">
        <v>0.12562814070351758</v>
      </c>
      <c r="L2" s="9">
        <f t="shared" ref="L2:L70" si="3">IF(K2="","",((J2/(1+K2/100))*(1+25.7/100))-J2)</f>
        <v>1.803693896</v>
      </c>
      <c r="M2" s="4"/>
      <c r="N2" s="10" t="str">
        <f t="shared" ref="N2:N70" si="4">"Bradford/JDG - 2025 GHG Exp"&amp;CHAR(10)&amp;"NMin "&amp;C2&amp;" (Sample)"&amp;CHAR(10)&amp;"Lab No: "&amp;G2&amp;" -- ID:"&amp;F2</f>
        <v>Bradford/JDG - 2025 GHG Exp
NMin t0 (Sample)
Lab No: 61 -- ID:NMin_2_P15_t0_A</v>
      </c>
      <c r="O2" s="10" t="str">
        <f t="shared" ref="O2:O70" si="5">"Bradford/JDG - 2025 GHG Exp"&amp;CHAR(10)&amp;"NMin "&amp;C2&amp;" (Reserve)"&amp;CHAR(10)&amp;"Lab No: "&amp;G2&amp;" -- ID:"&amp;F2</f>
        <v>Bradford/JDG - 2025 GHG Exp
NMin t0 (Reserve)
Lab No: 61 -- ID:NMin_2_P15_t0_A</v>
      </c>
    </row>
    <row r="3" ht="22.5" customHeight="1">
      <c r="A3" s="4" t="s">
        <v>15</v>
      </c>
      <c r="B3" s="5">
        <v>14.0</v>
      </c>
      <c r="C3" s="5" t="s">
        <v>19</v>
      </c>
      <c r="D3" s="6" t="s">
        <v>20</v>
      </c>
      <c r="E3" s="7" t="b">
        <f t="shared" si="1"/>
        <v>0</v>
      </c>
      <c r="F3" s="7" t="str">
        <f t="shared" si="2"/>
        <v>NMin_2_P14_t1_B</v>
      </c>
      <c r="G3" s="5">
        <v>62.0</v>
      </c>
      <c r="H3" s="3" t="s">
        <v>18</v>
      </c>
      <c r="I3" s="4">
        <v>10.215</v>
      </c>
      <c r="J3" s="4">
        <v>7.3657</v>
      </c>
      <c r="K3" s="8">
        <v>0.11643835616438351</v>
      </c>
      <c r="L3" s="9">
        <f t="shared" si="3"/>
        <v>1.882216778</v>
      </c>
      <c r="M3" s="4">
        <v>1.91</v>
      </c>
      <c r="N3" s="10" t="str">
        <f t="shared" si="4"/>
        <v>Bradford/JDG - 2025 GHG Exp
NMin t1 (Sample)
Lab No: 62 -- ID:NMin_2_P14_t1_B</v>
      </c>
      <c r="O3" s="10" t="str">
        <f t="shared" si="5"/>
        <v>Bradford/JDG - 2025 GHG Exp
NMin t1 (Reserve)
Lab No: 62 -- ID:NMin_2_P14_t1_B</v>
      </c>
    </row>
    <row r="4" ht="22.5" customHeight="1">
      <c r="A4" s="4" t="s">
        <v>15</v>
      </c>
      <c r="B4" s="5">
        <v>14.0</v>
      </c>
      <c r="C4" s="5" t="s">
        <v>16</v>
      </c>
      <c r="D4" s="6" t="s">
        <v>17</v>
      </c>
      <c r="E4" s="7" t="b">
        <f t="shared" si="1"/>
        <v>1</v>
      </c>
      <c r="F4" s="7" t="str">
        <f t="shared" si="2"/>
        <v>NMin_2_P14_t0_A</v>
      </c>
      <c r="G4" s="5">
        <v>63.0</v>
      </c>
      <c r="H4" s="3" t="s">
        <v>18</v>
      </c>
      <c r="I4" s="4">
        <v>10.2638</v>
      </c>
      <c r="J4" s="4">
        <v>7.824</v>
      </c>
      <c r="K4" s="8">
        <v>0.1150234741784038</v>
      </c>
      <c r="L4" s="9">
        <f t="shared" si="3"/>
        <v>1.999468705</v>
      </c>
      <c r="M4" s="10"/>
      <c r="N4" s="10" t="str">
        <f t="shared" si="4"/>
        <v>Bradford/JDG - 2025 GHG Exp
NMin t0 (Sample)
Lab No: 63 -- ID:NMin_2_P14_t0_A</v>
      </c>
      <c r="O4" s="10" t="str">
        <f t="shared" si="5"/>
        <v>Bradford/JDG - 2025 GHG Exp
NMin t0 (Reserve)
Lab No: 63 -- ID:NMin_2_P14_t0_A</v>
      </c>
    </row>
    <row r="5" ht="22.5" customHeight="1">
      <c r="A5" s="4" t="s">
        <v>15</v>
      </c>
      <c r="B5" s="5">
        <v>15.0</v>
      </c>
      <c r="C5" s="5" t="s">
        <v>19</v>
      </c>
      <c r="D5" s="6" t="s">
        <v>20</v>
      </c>
      <c r="E5" s="7" t="b">
        <f t="shared" si="1"/>
        <v>0</v>
      </c>
      <c r="F5" s="7" t="str">
        <f t="shared" si="2"/>
        <v>NMin_2_P15_t1_B</v>
      </c>
      <c r="G5" s="5">
        <v>64.0</v>
      </c>
      <c r="H5" s="3" t="s">
        <v>18</v>
      </c>
      <c r="I5" s="4">
        <v>10.2223</v>
      </c>
      <c r="J5" s="4">
        <v>7.0429</v>
      </c>
      <c r="K5" s="8">
        <v>0.1250000000000001</v>
      </c>
      <c r="L5" s="9">
        <f t="shared" si="3"/>
        <v>1.798972959</v>
      </c>
      <c r="M5" s="4">
        <v>1.92</v>
      </c>
      <c r="N5" s="10" t="str">
        <f t="shared" si="4"/>
        <v>Bradford/JDG - 2025 GHG Exp
NMin t1 (Sample)
Lab No: 64 -- ID:NMin_2_P15_t1_B</v>
      </c>
      <c r="O5" s="10" t="str">
        <f t="shared" si="5"/>
        <v>Bradford/JDG - 2025 GHG Exp
NMin t1 (Reserve)
Lab No: 64 -- ID:NMin_2_P15_t1_B</v>
      </c>
    </row>
    <row r="6" ht="22.5" customHeight="1">
      <c r="A6" s="4" t="s">
        <v>15</v>
      </c>
      <c r="B6" s="5">
        <v>8.0</v>
      </c>
      <c r="C6" s="5" t="s">
        <v>16</v>
      </c>
      <c r="D6" s="6" t="s">
        <v>20</v>
      </c>
      <c r="E6" s="7" t="b">
        <f t="shared" si="1"/>
        <v>1</v>
      </c>
      <c r="F6" s="7" t="str">
        <f t="shared" si="2"/>
        <v>NMin_2_P8_t0_B</v>
      </c>
      <c r="G6" s="5">
        <v>65.0</v>
      </c>
      <c r="H6" s="3" t="s">
        <v>18</v>
      </c>
      <c r="I6" s="4">
        <v>10.2531</v>
      </c>
      <c r="J6" s="4">
        <v>7.4814</v>
      </c>
      <c r="K6" s="8">
        <v>0.11830985915492968</v>
      </c>
      <c r="L6" s="9">
        <f t="shared" si="3"/>
        <v>1.911606947</v>
      </c>
      <c r="M6" s="10"/>
      <c r="N6" s="10" t="str">
        <f t="shared" si="4"/>
        <v>Bradford/JDG - 2025 GHG Exp
NMin t0 (Sample)
Lab No: 65 -- ID:NMin_2_P8_t0_B</v>
      </c>
      <c r="O6" s="10" t="str">
        <f t="shared" si="5"/>
        <v>Bradford/JDG - 2025 GHG Exp
NMin t0 (Reserve)
Lab No: 65 -- ID:NMin_2_P8_t0_B</v>
      </c>
    </row>
    <row r="7" ht="22.5" customHeight="1">
      <c r="A7" s="4" t="s">
        <v>15</v>
      </c>
      <c r="B7" s="5">
        <v>13.0</v>
      </c>
      <c r="C7" s="5" t="s">
        <v>19</v>
      </c>
      <c r="D7" s="6" t="s">
        <v>17</v>
      </c>
      <c r="E7" s="7" t="b">
        <f t="shared" si="1"/>
        <v>0</v>
      </c>
      <c r="F7" s="7" t="str">
        <f t="shared" si="2"/>
        <v>NMin_2_P13_t1_A</v>
      </c>
      <c r="G7" s="5">
        <v>66.0</v>
      </c>
      <c r="H7" s="3" t="s">
        <v>18</v>
      </c>
      <c r="I7" s="4">
        <v>10.2502</v>
      </c>
      <c r="J7" s="4">
        <v>7.1526</v>
      </c>
      <c r="K7" s="8">
        <v>0.1286173633440514</v>
      </c>
      <c r="L7" s="9">
        <f t="shared" si="3"/>
        <v>1.826669301</v>
      </c>
      <c r="M7" s="4">
        <v>1.92</v>
      </c>
      <c r="N7" s="10" t="str">
        <f t="shared" si="4"/>
        <v>Bradford/JDG - 2025 GHG Exp
NMin t1 (Sample)
Lab No: 66 -- ID:NMin_2_P13_t1_A</v>
      </c>
      <c r="O7" s="10" t="str">
        <f t="shared" si="5"/>
        <v>Bradford/JDG - 2025 GHG Exp
NMin t1 (Reserve)
Lab No: 66 -- ID:NMin_2_P13_t1_A</v>
      </c>
    </row>
    <row r="8" ht="22.5" customHeight="1">
      <c r="A8" s="4" t="s">
        <v>15</v>
      </c>
      <c r="B8" s="5">
        <v>12.0</v>
      </c>
      <c r="C8" s="5" t="s">
        <v>16</v>
      </c>
      <c r="D8" s="6" t="s">
        <v>17</v>
      </c>
      <c r="E8" s="7" t="b">
        <f t="shared" si="1"/>
        <v>1</v>
      </c>
      <c r="F8" s="7" t="str">
        <f t="shared" si="2"/>
        <v>NMin_2_P12_t0_A</v>
      </c>
      <c r="G8" s="5">
        <v>67.0</v>
      </c>
      <c r="H8" s="3" t="s">
        <v>18</v>
      </c>
      <c r="I8" s="4">
        <v>10.2543</v>
      </c>
      <c r="J8" s="4">
        <v>7.3524</v>
      </c>
      <c r="K8" s="8">
        <v>0.13538461538461538</v>
      </c>
      <c r="L8" s="9">
        <f t="shared" si="3"/>
        <v>1.877071515</v>
      </c>
      <c r="M8" s="10"/>
      <c r="N8" s="10" t="str">
        <f t="shared" si="4"/>
        <v>Bradford/JDG - 2025 GHG Exp
NMin t0 (Sample)
Lab No: 67 -- ID:NMin_2_P12_t0_A</v>
      </c>
      <c r="O8" s="10" t="str">
        <f t="shared" si="5"/>
        <v>Bradford/JDG - 2025 GHG Exp
NMin t0 (Reserve)
Lab No: 67 -- ID:NMin_2_P12_t0_A</v>
      </c>
    </row>
    <row r="9" ht="22.5" customHeight="1">
      <c r="A9" s="4" t="s">
        <v>15</v>
      </c>
      <c r="B9" s="5">
        <v>11.0</v>
      </c>
      <c r="C9" s="5" t="s">
        <v>19</v>
      </c>
      <c r="D9" s="6" t="s">
        <v>17</v>
      </c>
      <c r="E9" s="7" t="b">
        <f t="shared" si="1"/>
        <v>0</v>
      </c>
      <c r="F9" s="7" t="str">
        <f t="shared" si="2"/>
        <v>NMin_2_P11_t1_A</v>
      </c>
      <c r="G9" s="5">
        <v>68.0</v>
      </c>
      <c r="H9" s="3" t="s">
        <v>18</v>
      </c>
      <c r="I9" s="4">
        <v>10.2684</v>
      </c>
      <c r="J9" s="4">
        <v>7.2789</v>
      </c>
      <c r="K9" s="8">
        <v>0.12826603325415678</v>
      </c>
      <c r="L9" s="9">
        <f t="shared" si="3"/>
        <v>1.858956534</v>
      </c>
      <c r="M9" s="4">
        <v>1.89</v>
      </c>
      <c r="N9" s="10" t="str">
        <f t="shared" si="4"/>
        <v>Bradford/JDG - 2025 GHG Exp
NMin t1 (Sample)
Lab No: 68 -- ID:NMin_2_P11_t1_A</v>
      </c>
      <c r="O9" s="10" t="str">
        <f t="shared" si="5"/>
        <v>Bradford/JDG - 2025 GHG Exp
NMin t1 (Reserve)
Lab No: 68 -- ID:NMin_2_P11_t1_A</v>
      </c>
    </row>
    <row r="10" ht="22.5" customHeight="1">
      <c r="A10" s="4" t="s">
        <v>15</v>
      </c>
      <c r="B10" s="5">
        <v>11.0</v>
      </c>
      <c r="C10" s="5" t="s">
        <v>16</v>
      </c>
      <c r="D10" s="6" t="s">
        <v>17</v>
      </c>
      <c r="E10" s="7" t="b">
        <f t="shared" si="1"/>
        <v>1</v>
      </c>
      <c r="F10" s="7" t="str">
        <f t="shared" si="2"/>
        <v>NMin_2_P11_t0_A</v>
      </c>
      <c r="G10" s="5">
        <v>69.0</v>
      </c>
      <c r="H10" s="3" t="s">
        <v>18</v>
      </c>
      <c r="I10" s="4">
        <v>10.2232</v>
      </c>
      <c r="J10" s="4">
        <v>7.1685</v>
      </c>
      <c r="K10" s="8">
        <v>0.12826603325415678</v>
      </c>
      <c r="L10" s="9">
        <f t="shared" si="3"/>
        <v>1.830761504</v>
      </c>
      <c r="M10" s="10"/>
      <c r="N10" s="10" t="str">
        <f t="shared" si="4"/>
        <v>Bradford/JDG - 2025 GHG Exp
NMin t0 (Sample)
Lab No: 69 -- ID:NMin_2_P11_t0_A</v>
      </c>
      <c r="O10" s="10" t="str">
        <f t="shared" si="5"/>
        <v>Bradford/JDG - 2025 GHG Exp
NMin t0 (Reserve)
Lab No: 69 -- ID:NMin_2_P11_t0_A</v>
      </c>
    </row>
    <row r="11" ht="22.5" customHeight="1">
      <c r="A11" s="4" t="s">
        <v>15</v>
      </c>
      <c r="B11" s="5">
        <v>15.0</v>
      </c>
      <c r="C11" s="5" t="s">
        <v>19</v>
      </c>
      <c r="D11" s="6" t="s">
        <v>20</v>
      </c>
      <c r="E11" s="7" t="b">
        <f t="shared" si="1"/>
        <v>0</v>
      </c>
      <c r="F11" s="7" t="str">
        <f t="shared" si="2"/>
        <v>NMin_2_P15_t1_B</v>
      </c>
      <c r="G11" s="5">
        <v>70.0</v>
      </c>
      <c r="H11" s="3" t="s">
        <v>18</v>
      </c>
      <c r="I11" s="4">
        <v>10.2433</v>
      </c>
      <c r="J11" s="4">
        <v>7.5693</v>
      </c>
      <c r="K11" s="8">
        <v>0.1250000000000001</v>
      </c>
      <c r="L11" s="9">
        <f t="shared" si="3"/>
        <v>1.933431685</v>
      </c>
      <c r="M11" s="4">
        <v>1.93</v>
      </c>
      <c r="N11" s="10" t="str">
        <f t="shared" si="4"/>
        <v>Bradford/JDG - 2025 GHG Exp
NMin t1 (Sample)
Lab No: 70 -- ID:NMin_2_P15_t1_B</v>
      </c>
      <c r="O11" s="10" t="str">
        <f t="shared" si="5"/>
        <v>Bradford/JDG - 2025 GHG Exp
NMin t1 (Reserve)
Lab No: 70 -- ID:NMin_2_P15_t1_B</v>
      </c>
    </row>
    <row r="12" ht="22.5" customHeight="1">
      <c r="A12" s="4" t="s">
        <v>15</v>
      </c>
      <c r="B12" s="5">
        <v>4.0</v>
      </c>
      <c r="C12" s="5" t="s">
        <v>16</v>
      </c>
      <c r="D12" s="6" t="s">
        <v>20</v>
      </c>
      <c r="E12" s="7" t="b">
        <f t="shared" si="1"/>
        <v>1</v>
      </c>
      <c r="F12" s="7" t="str">
        <f t="shared" si="2"/>
        <v>NMin_2_P4_t0_B</v>
      </c>
      <c r="G12" s="5">
        <v>71.0</v>
      </c>
      <c r="H12" s="3" t="s">
        <v>18</v>
      </c>
      <c r="I12" s="4">
        <v>10.2471</v>
      </c>
      <c r="J12" s="4">
        <v>7.1709</v>
      </c>
      <c r="K12" s="8">
        <v>0.12068965517241363</v>
      </c>
      <c r="L12" s="9">
        <f t="shared" si="3"/>
        <v>1.832055664</v>
      </c>
      <c r="M12" s="10"/>
      <c r="N12" s="10" t="str">
        <f t="shared" si="4"/>
        <v>Bradford/JDG - 2025 GHG Exp
NMin t0 (Sample)
Lab No: 71 -- ID:NMin_2_P4_t0_B</v>
      </c>
      <c r="O12" s="10" t="str">
        <f t="shared" si="5"/>
        <v>Bradford/JDG - 2025 GHG Exp
NMin t0 (Reserve)
Lab No: 71 -- ID:NMin_2_P4_t0_B</v>
      </c>
    </row>
    <row r="13" ht="22.5" customHeight="1">
      <c r="A13" s="4" t="s">
        <v>15</v>
      </c>
      <c r="B13" s="5">
        <v>12.0</v>
      </c>
      <c r="C13" s="5" t="s">
        <v>19</v>
      </c>
      <c r="D13" s="6" t="s">
        <v>20</v>
      </c>
      <c r="E13" s="7" t="b">
        <f t="shared" si="1"/>
        <v>0</v>
      </c>
      <c r="F13" s="7" t="str">
        <f t="shared" si="2"/>
        <v>NMin_2_P12_t1_B</v>
      </c>
      <c r="G13" s="5">
        <v>72.0</v>
      </c>
      <c r="H13" s="3" t="s">
        <v>18</v>
      </c>
      <c r="I13" s="4">
        <v>10.2341</v>
      </c>
      <c r="J13" s="4">
        <v>7.2383</v>
      </c>
      <c r="K13" s="8">
        <v>0.1398809523809526</v>
      </c>
      <c r="L13" s="9">
        <f t="shared" si="3"/>
        <v>1.847533749</v>
      </c>
      <c r="M13" s="4">
        <v>1.92</v>
      </c>
      <c r="N13" s="10" t="str">
        <f t="shared" si="4"/>
        <v>Bradford/JDG - 2025 GHG Exp
NMin t1 (Sample)
Lab No: 72 -- ID:NMin_2_P12_t1_B</v>
      </c>
      <c r="O13" s="10" t="str">
        <f t="shared" si="5"/>
        <v>Bradford/JDG - 2025 GHG Exp
NMin t1 (Reserve)
Lab No: 72 -- ID:NMin_2_P12_t1_B</v>
      </c>
    </row>
    <row r="14" ht="22.5" customHeight="1">
      <c r="A14" s="4" t="s">
        <v>15</v>
      </c>
      <c r="B14" s="5">
        <v>4.0</v>
      </c>
      <c r="C14" s="5" t="s">
        <v>16</v>
      </c>
      <c r="D14" s="6" t="s">
        <v>17</v>
      </c>
      <c r="E14" s="7" t="b">
        <f t="shared" si="1"/>
        <v>1</v>
      </c>
      <c r="F14" s="7" t="str">
        <f t="shared" si="2"/>
        <v>NMin_2_P4_t0_A</v>
      </c>
      <c r="G14" s="5">
        <v>73.0</v>
      </c>
      <c r="H14" s="3" t="s">
        <v>18</v>
      </c>
      <c r="I14" s="4">
        <v>10.2258</v>
      </c>
      <c r="J14" s="4">
        <v>7.1928</v>
      </c>
      <c r="K14" s="8">
        <v>0.11660777385159013</v>
      </c>
      <c r="L14" s="9">
        <f t="shared" si="3"/>
        <v>1.838018963</v>
      </c>
      <c r="M14" s="10"/>
      <c r="N14" s="10" t="str">
        <f t="shared" si="4"/>
        <v>Bradford/JDG - 2025 GHG Exp
NMin t0 (Sample)
Lab No: 73 -- ID:NMin_2_P4_t0_A</v>
      </c>
      <c r="O14" s="10" t="str">
        <f t="shared" si="5"/>
        <v>Bradford/JDG - 2025 GHG Exp
NMin t0 (Reserve)
Lab No: 73 -- ID:NMin_2_P4_t0_A</v>
      </c>
    </row>
    <row r="15" ht="22.5" customHeight="1">
      <c r="A15" s="4" t="s">
        <v>15</v>
      </c>
      <c r="B15" s="5">
        <v>10.0</v>
      </c>
      <c r="C15" s="5" t="s">
        <v>19</v>
      </c>
      <c r="D15" s="6" t="s">
        <v>20</v>
      </c>
      <c r="E15" s="7" t="b">
        <f t="shared" si="1"/>
        <v>0</v>
      </c>
      <c r="F15" s="7" t="str">
        <f t="shared" si="2"/>
        <v>NMin_2_P10_t1_B</v>
      </c>
      <c r="G15" s="5">
        <v>74.0</v>
      </c>
      <c r="H15" s="3" t="s">
        <v>18</v>
      </c>
      <c r="I15" s="4">
        <v>10.237</v>
      </c>
      <c r="J15" s="4">
        <v>7.235</v>
      </c>
      <c r="K15" s="8">
        <v>0.12616822429906543</v>
      </c>
      <c r="L15" s="9">
        <f t="shared" si="3"/>
        <v>1.847935222</v>
      </c>
      <c r="M15" s="4">
        <v>2.26</v>
      </c>
      <c r="N15" s="10" t="str">
        <f t="shared" si="4"/>
        <v>Bradford/JDG - 2025 GHG Exp
NMin t1 (Sample)
Lab No: 74 -- ID:NMin_2_P10_t1_B</v>
      </c>
      <c r="O15" s="10" t="str">
        <f t="shared" si="5"/>
        <v>Bradford/JDG - 2025 GHG Exp
NMin t1 (Reserve)
Lab No: 74 -- ID:NMin_2_P10_t1_B</v>
      </c>
    </row>
    <row r="16" ht="22.5" customHeight="1">
      <c r="A16" s="4" t="s">
        <v>15</v>
      </c>
      <c r="B16" s="5">
        <v>8.0</v>
      </c>
      <c r="C16" s="5" t="s">
        <v>16</v>
      </c>
      <c r="D16" s="6" t="s">
        <v>20</v>
      </c>
      <c r="E16" s="7" t="b">
        <f t="shared" si="1"/>
        <v>1</v>
      </c>
      <c r="F16" s="7" t="str">
        <f t="shared" si="2"/>
        <v>NMin_2_P8_t0_B</v>
      </c>
      <c r="G16" s="5">
        <v>75.0</v>
      </c>
      <c r="H16" s="3" t="s">
        <v>18</v>
      </c>
      <c r="I16" s="4">
        <v>10.2094</v>
      </c>
      <c r="J16" s="4">
        <v>7.0985</v>
      </c>
      <c r="K16" s="8">
        <v>0.11830985915492968</v>
      </c>
      <c r="L16" s="9">
        <f t="shared" si="3"/>
        <v>1.813770405</v>
      </c>
      <c r="M16" s="10"/>
      <c r="N16" s="10" t="str">
        <f t="shared" si="4"/>
        <v>Bradford/JDG - 2025 GHG Exp
NMin t0 (Sample)
Lab No: 75 -- ID:NMin_2_P8_t0_B</v>
      </c>
      <c r="O16" s="10" t="str">
        <f t="shared" si="5"/>
        <v>Bradford/JDG - 2025 GHG Exp
NMin t0 (Reserve)
Lab No: 75 -- ID:NMin_2_P8_t0_B</v>
      </c>
    </row>
    <row r="17" ht="22.5" customHeight="1">
      <c r="A17" s="4" t="s">
        <v>15</v>
      </c>
      <c r="B17" s="5">
        <v>5.0</v>
      </c>
      <c r="C17" s="5" t="s">
        <v>19</v>
      </c>
      <c r="D17" s="6" t="s">
        <v>20</v>
      </c>
      <c r="E17" s="7" t="b">
        <f t="shared" si="1"/>
        <v>0</v>
      </c>
      <c r="F17" s="7" t="str">
        <f t="shared" si="2"/>
        <v>NMin_2_P5_t1_B</v>
      </c>
      <c r="G17" s="5">
        <v>76.0</v>
      </c>
      <c r="H17" s="3" t="s">
        <v>18</v>
      </c>
      <c r="I17" s="4">
        <v>10.2049</v>
      </c>
      <c r="J17" s="4">
        <v>7.1868</v>
      </c>
      <c r="K17" s="8">
        <v>0.11549295774647891</v>
      </c>
      <c r="L17" s="9">
        <f t="shared" si="3"/>
        <v>1.836586224</v>
      </c>
      <c r="M17" s="4">
        <v>1.91</v>
      </c>
      <c r="N17" s="10" t="str">
        <f t="shared" si="4"/>
        <v>Bradford/JDG - 2025 GHG Exp
NMin t1 (Sample)
Lab No: 76 -- ID:NMin_2_P5_t1_B</v>
      </c>
      <c r="O17" s="10" t="str">
        <f t="shared" si="5"/>
        <v>Bradford/JDG - 2025 GHG Exp
NMin t1 (Reserve)
Lab No: 76 -- ID:NMin_2_P5_t1_B</v>
      </c>
    </row>
    <row r="18" ht="22.5" customHeight="1">
      <c r="A18" s="4" t="s">
        <v>15</v>
      </c>
      <c r="B18" s="5">
        <v>10.0</v>
      </c>
      <c r="C18" s="5" t="s">
        <v>16</v>
      </c>
      <c r="D18" s="6" t="s">
        <v>17</v>
      </c>
      <c r="E18" s="7" t="b">
        <f t="shared" si="1"/>
        <v>1</v>
      </c>
      <c r="F18" s="7" t="str">
        <f t="shared" si="2"/>
        <v>NMin_2_P10_t0_A</v>
      </c>
      <c r="G18" s="5">
        <v>77.0</v>
      </c>
      <c r="H18" s="3" t="s">
        <v>18</v>
      </c>
      <c r="I18" s="4">
        <v>10.2452</v>
      </c>
      <c r="J18" s="4">
        <v>7.0163</v>
      </c>
      <c r="K18" s="8">
        <v>0.11976047904191613</v>
      </c>
      <c r="L18" s="9">
        <f t="shared" si="3"/>
        <v>1.792639472</v>
      </c>
      <c r="M18" s="10"/>
      <c r="N18" s="10" t="str">
        <f t="shared" si="4"/>
        <v>Bradford/JDG - 2025 GHG Exp
NMin t0 (Sample)
Lab No: 77 -- ID:NMin_2_P10_t0_A</v>
      </c>
      <c r="O18" s="10" t="str">
        <f t="shared" si="5"/>
        <v>Bradford/JDG - 2025 GHG Exp
NMin t0 (Reserve)
Lab No: 77 -- ID:NMin_2_P10_t0_A</v>
      </c>
    </row>
    <row r="19" ht="22.5" customHeight="1">
      <c r="A19" s="4" t="s">
        <v>15</v>
      </c>
      <c r="B19" s="5">
        <v>8.0</v>
      </c>
      <c r="C19" s="5" t="s">
        <v>19</v>
      </c>
      <c r="D19" s="6" t="s">
        <v>17</v>
      </c>
      <c r="E19" s="7" t="b">
        <f t="shared" si="1"/>
        <v>0</v>
      </c>
      <c r="F19" s="7" t="str">
        <f t="shared" si="2"/>
        <v>NMin_2_P8_t1_A</v>
      </c>
      <c r="G19" s="5">
        <v>78.0</v>
      </c>
      <c r="H19" s="3" t="s">
        <v>18</v>
      </c>
      <c r="I19" s="4">
        <v>10.2157</v>
      </c>
      <c r="J19" s="4">
        <v>7.3005</v>
      </c>
      <c r="K19" s="8">
        <v>0.11714285714285705</v>
      </c>
      <c r="L19" s="9">
        <f t="shared" si="3"/>
        <v>1.865491196</v>
      </c>
      <c r="M19" s="4">
        <v>2.03</v>
      </c>
      <c r="N19" s="10" t="str">
        <f t="shared" si="4"/>
        <v>Bradford/JDG - 2025 GHG Exp
NMin t1 (Sample)
Lab No: 78 -- ID:NMin_2_P8_t1_A</v>
      </c>
      <c r="O19" s="10" t="str">
        <f t="shared" si="5"/>
        <v>Bradford/JDG - 2025 GHG Exp
NMin t1 (Reserve)
Lab No: 78 -- ID:NMin_2_P8_t1_A</v>
      </c>
    </row>
    <row r="20" ht="22.5" customHeight="1">
      <c r="A20" s="4" t="s">
        <v>15</v>
      </c>
      <c r="B20" s="5">
        <v>13.0</v>
      </c>
      <c r="C20" s="5" t="s">
        <v>16</v>
      </c>
      <c r="D20" s="6" t="s">
        <v>20</v>
      </c>
      <c r="E20" s="7" t="b">
        <f t="shared" si="1"/>
        <v>1</v>
      </c>
      <c r="F20" s="7" t="str">
        <f t="shared" si="2"/>
        <v>NMin_2_P13_t0_B</v>
      </c>
      <c r="G20" s="5">
        <v>79.0</v>
      </c>
      <c r="H20" s="3" t="s">
        <v>18</v>
      </c>
      <c r="I20" s="4">
        <v>10.2489</v>
      </c>
      <c r="J20" s="4">
        <v>7.1896</v>
      </c>
      <c r="K20" s="8">
        <v>0.128415300546448</v>
      </c>
      <c r="L20" s="9">
        <f t="shared" si="3"/>
        <v>1.836136773</v>
      </c>
      <c r="M20" s="10"/>
      <c r="N20" s="10" t="str">
        <f t="shared" si="4"/>
        <v>Bradford/JDG - 2025 GHG Exp
NMin t0 (Sample)
Lab No: 79 -- ID:NMin_2_P13_t0_B</v>
      </c>
      <c r="O20" s="10" t="str">
        <f t="shared" si="5"/>
        <v>Bradford/JDG - 2025 GHG Exp
NMin t0 (Reserve)
Lab No: 79 -- ID:NMin_2_P13_t0_B</v>
      </c>
    </row>
    <row r="21" ht="22.5" customHeight="1">
      <c r="A21" s="4" t="s">
        <v>15</v>
      </c>
      <c r="B21" s="5">
        <v>8.0</v>
      </c>
      <c r="C21" s="5" t="s">
        <v>19</v>
      </c>
      <c r="D21" s="6" t="s">
        <v>17</v>
      </c>
      <c r="E21" s="7" t="b">
        <f t="shared" si="1"/>
        <v>0</v>
      </c>
      <c r="F21" s="7" t="str">
        <f t="shared" si="2"/>
        <v>NMin_2_P8_t1_A</v>
      </c>
      <c r="G21" s="5">
        <v>80.0</v>
      </c>
      <c r="H21" s="3" t="s">
        <v>18</v>
      </c>
      <c r="I21" s="4">
        <v>10.263</v>
      </c>
      <c r="J21" s="4">
        <v>7.4657</v>
      </c>
      <c r="K21" s="8">
        <v>0.11714285714285705</v>
      </c>
      <c r="L21" s="9">
        <f t="shared" si="3"/>
        <v>1.907704626</v>
      </c>
      <c r="M21" s="4">
        <v>1.93</v>
      </c>
      <c r="N21" s="10" t="str">
        <f t="shared" si="4"/>
        <v>Bradford/JDG - 2025 GHG Exp
NMin t1 (Sample)
Lab No: 80 -- ID:NMin_2_P8_t1_A</v>
      </c>
      <c r="O21" s="10" t="str">
        <f t="shared" si="5"/>
        <v>Bradford/JDG - 2025 GHG Exp
NMin t1 (Reserve)
Lab No: 80 -- ID:NMin_2_P8_t1_A</v>
      </c>
    </row>
    <row r="22" ht="22.5" customHeight="1">
      <c r="A22" s="4" t="s">
        <v>15</v>
      </c>
      <c r="B22" s="5">
        <v>6.0</v>
      </c>
      <c r="C22" s="5" t="s">
        <v>16</v>
      </c>
      <c r="D22" s="6" t="s">
        <v>20</v>
      </c>
      <c r="E22" s="7" t="b">
        <f t="shared" si="1"/>
        <v>1</v>
      </c>
      <c r="F22" s="7" t="str">
        <f t="shared" si="2"/>
        <v>NMin_2_P6_t0_B</v>
      </c>
      <c r="G22" s="5">
        <v>81.0</v>
      </c>
      <c r="H22" s="3" t="s">
        <v>18</v>
      </c>
      <c r="I22" s="4">
        <v>10.189</v>
      </c>
      <c r="J22" s="4">
        <v>7.0294</v>
      </c>
      <c r="K22" s="8">
        <v>0.12112676056338033</v>
      </c>
      <c r="L22" s="9">
        <f t="shared" si="3"/>
        <v>1.795866041</v>
      </c>
      <c r="M22" s="10"/>
      <c r="N22" s="10" t="str">
        <f t="shared" si="4"/>
        <v>Bradford/JDG - 2025 GHG Exp
NMin t0 (Sample)
Lab No: 81 -- ID:NMin_2_P6_t0_B</v>
      </c>
      <c r="O22" s="10" t="str">
        <f t="shared" si="5"/>
        <v>Bradford/JDG - 2025 GHG Exp
NMin t0 (Reserve)
Lab No: 81 -- ID:NMin_2_P6_t0_B</v>
      </c>
    </row>
    <row r="23" ht="22.5" customHeight="1">
      <c r="A23" s="4" t="s">
        <v>15</v>
      </c>
      <c r="B23" s="5">
        <v>5.0</v>
      </c>
      <c r="C23" s="5" t="s">
        <v>19</v>
      </c>
      <c r="D23" s="6" t="s">
        <v>17</v>
      </c>
      <c r="E23" s="7" t="b">
        <f t="shared" si="1"/>
        <v>0</v>
      </c>
      <c r="F23" s="7" t="str">
        <f t="shared" si="2"/>
        <v>NMin_2_P5_t1_A</v>
      </c>
      <c r="G23" s="5">
        <v>82.0</v>
      </c>
      <c r="H23" s="3" t="s">
        <v>18</v>
      </c>
      <c r="I23" s="4">
        <v>10.7206</v>
      </c>
      <c r="J23" s="4">
        <v>6.999</v>
      </c>
      <c r="K23" s="8">
        <v>0.11575562700964658</v>
      </c>
      <c r="L23" s="9">
        <f t="shared" si="3"/>
        <v>1.788570892</v>
      </c>
      <c r="M23" s="4">
        <v>1.92</v>
      </c>
      <c r="N23" s="10" t="str">
        <f t="shared" si="4"/>
        <v>Bradford/JDG - 2025 GHG Exp
NMin t1 (Sample)
Lab No: 82 -- ID:NMin_2_P5_t1_A</v>
      </c>
      <c r="O23" s="10" t="str">
        <f t="shared" si="5"/>
        <v>Bradford/JDG - 2025 GHG Exp
NMin t1 (Reserve)
Lab No: 82 -- ID:NMin_2_P5_t1_A</v>
      </c>
    </row>
    <row r="24" ht="22.5" customHeight="1">
      <c r="A24" s="4" t="s">
        <v>15</v>
      </c>
      <c r="B24" s="5">
        <v>3.0</v>
      </c>
      <c r="C24" s="5" t="s">
        <v>16</v>
      </c>
      <c r="D24" s="6" t="s">
        <v>17</v>
      </c>
      <c r="E24" s="7" t="b">
        <f t="shared" si="1"/>
        <v>1</v>
      </c>
      <c r="F24" s="7" t="str">
        <f t="shared" si="2"/>
        <v>NMin_2_P3_t0_A</v>
      </c>
      <c r="G24" s="5">
        <v>83.0</v>
      </c>
      <c r="H24" s="3" t="s">
        <v>18</v>
      </c>
      <c r="I24" s="11">
        <v>10.1907</v>
      </c>
      <c r="J24" s="4">
        <v>7.362</v>
      </c>
      <c r="K24" s="8">
        <v>0.13744075829383864</v>
      </c>
      <c r="L24" s="9">
        <f t="shared" si="3"/>
        <v>1.879332642</v>
      </c>
      <c r="M24" s="10"/>
      <c r="N24" s="10" t="str">
        <f t="shared" si="4"/>
        <v>Bradford/JDG - 2025 GHG Exp
NMin t0 (Sample)
Lab No: 83 -- ID:NMin_2_P3_t0_A</v>
      </c>
      <c r="O24" s="10" t="str">
        <f t="shared" si="5"/>
        <v>Bradford/JDG - 2025 GHG Exp
NMin t0 (Reserve)
Lab No: 83 -- ID:NMin_2_P3_t0_A</v>
      </c>
    </row>
    <row r="25" ht="22.5" customHeight="1">
      <c r="A25" s="4" t="s">
        <v>15</v>
      </c>
      <c r="B25" s="5">
        <v>2.0</v>
      </c>
      <c r="C25" s="5" t="s">
        <v>19</v>
      </c>
      <c r="D25" s="6" t="s">
        <v>20</v>
      </c>
      <c r="E25" s="7" t="b">
        <f t="shared" si="1"/>
        <v>0</v>
      </c>
      <c r="F25" s="7" t="str">
        <f t="shared" si="2"/>
        <v>NMin_2_P2_t1_B</v>
      </c>
      <c r="G25" s="5">
        <v>84.0</v>
      </c>
      <c r="H25" s="3" t="s">
        <v>18</v>
      </c>
      <c r="I25" s="11">
        <v>10.2031</v>
      </c>
      <c r="J25" s="4">
        <v>7.1649</v>
      </c>
      <c r="K25" s="8">
        <v>0.10757946210268958</v>
      </c>
      <c r="L25" s="9">
        <f t="shared" si="3"/>
        <v>1.831700805</v>
      </c>
      <c r="M25" s="4">
        <v>1.93</v>
      </c>
      <c r="N25" s="10" t="str">
        <f t="shared" si="4"/>
        <v>Bradford/JDG - 2025 GHG Exp
NMin t1 (Sample)
Lab No: 84 -- ID:NMin_2_P2_t1_B</v>
      </c>
      <c r="O25" s="10" t="str">
        <f t="shared" si="5"/>
        <v>Bradford/JDG - 2025 GHG Exp
NMin t1 (Reserve)
Lab No: 84 -- ID:NMin_2_P2_t1_B</v>
      </c>
    </row>
    <row r="26" ht="22.5" customHeight="1">
      <c r="A26" s="4" t="s">
        <v>15</v>
      </c>
      <c r="B26" s="5">
        <v>6.0</v>
      </c>
      <c r="C26" s="5" t="s">
        <v>16</v>
      </c>
      <c r="D26" s="6" t="s">
        <v>17</v>
      </c>
      <c r="E26" s="7" t="b">
        <f t="shared" si="1"/>
        <v>1</v>
      </c>
      <c r="F26" s="7" t="str">
        <f t="shared" si="2"/>
        <v>NMin_2_P6_t0_A</v>
      </c>
      <c r="G26" s="5">
        <v>85.0</v>
      </c>
      <c r="H26" s="3" t="s">
        <v>18</v>
      </c>
      <c r="I26" s="4">
        <v>10.1986</v>
      </c>
      <c r="J26" s="4">
        <v>7.1827</v>
      </c>
      <c r="K26" s="8">
        <v>0.1247216035634743</v>
      </c>
      <c r="L26" s="9">
        <f t="shared" si="3"/>
        <v>1.834707245</v>
      </c>
      <c r="M26" s="10"/>
      <c r="N26" s="10" t="str">
        <f t="shared" si="4"/>
        <v>Bradford/JDG - 2025 GHG Exp
NMin t0 (Sample)
Lab No: 85 -- ID:NMin_2_P6_t0_A</v>
      </c>
      <c r="O26" s="10" t="str">
        <f t="shared" si="5"/>
        <v>Bradford/JDG - 2025 GHG Exp
NMin t0 (Reserve)
Lab No: 85 -- ID:NMin_2_P6_t0_A</v>
      </c>
    </row>
    <row r="27" ht="22.5" customHeight="1">
      <c r="A27" s="4" t="s">
        <v>15</v>
      </c>
      <c r="B27" s="5">
        <v>5.0</v>
      </c>
      <c r="C27" s="5" t="s">
        <v>19</v>
      </c>
      <c r="D27" s="6" t="s">
        <v>20</v>
      </c>
      <c r="E27" s="7" t="b">
        <f t="shared" si="1"/>
        <v>0</v>
      </c>
      <c r="F27" s="7" t="str">
        <f t="shared" si="2"/>
        <v>NMin_2_P5_t1_B</v>
      </c>
      <c r="G27" s="5">
        <v>86.0</v>
      </c>
      <c r="H27" s="3" t="s">
        <v>18</v>
      </c>
      <c r="I27" s="4">
        <v>10.19</v>
      </c>
      <c r="J27" s="4">
        <v>7.5846</v>
      </c>
      <c r="K27" s="8">
        <v>0.11549295774647891</v>
      </c>
      <c r="L27" s="9">
        <f t="shared" si="3"/>
        <v>1.938243986</v>
      </c>
      <c r="M27" s="4">
        <v>1.94</v>
      </c>
      <c r="N27" s="10" t="str">
        <f t="shared" si="4"/>
        <v>Bradford/JDG - 2025 GHG Exp
NMin t1 (Sample)
Lab No: 86 -- ID:NMin_2_P5_t1_B</v>
      </c>
      <c r="O27" s="10" t="str">
        <f t="shared" si="5"/>
        <v>Bradford/JDG - 2025 GHG Exp
NMin t1 (Reserve)
Lab No: 86 -- ID:NMin_2_P5_t1_B</v>
      </c>
    </row>
    <row r="28" ht="22.5" customHeight="1">
      <c r="A28" s="4" t="s">
        <v>15</v>
      </c>
      <c r="B28" s="5">
        <v>4.0</v>
      </c>
      <c r="C28" s="5" t="s">
        <v>16</v>
      </c>
      <c r="D28" s="6" t="s">
        <v>20</v>
      </c>
      <c r="E28" s="7" t="b">
        <f t="shared" si="1"/>
        <v>1</v>
      </c>
      <c r="F28" s="7" t="str">
        <f t="shared" si="2"/>
        <v>NMin_2_P4_t0_B</v>
      </c>
      <c r="G28" s="5">
        <v>87.0</v>
      </c>
      <c r="H28" s="3" t="s">
        <v>18</v>
      </c>
      <c r="I28" s="4">
        <v>10.2055</v>
      </c>
      <c r="J28" s="4">
        <v>7.3146</v>
      </c>
      <c r="K28" s="8">
        <v>0.12068965517241363</v>
      </c>
      <c r="L28" s="9">
        <f t="shared" si="3"/>
        <v>1.868768824</v>
      </c>
      <c r="M28" s="10"/>
      <c r="N28" s="10" t="str">
        <f t="shared" si="4"/>
        <v>Bradford/JDG - 2025 GHG Exp
NMin t0 (Sample)
Lab No: 87 -- ID:NMin_2_P4_t0_B</v>
      </c>
      <c r="O28" s="10" t="str">
        <f t="shared" si="5"/>
        <v>Bradford/JDG - 2025 GHG Exp
NMin t0 (Reserve)
Lab No: 87 -- ID:NMin_2_P4_t0_B</v>
      </c>
    </row>
    <row r="29" ht="22.5" customHeight="1">
      <c r="A29" s="4" t="s">
        <v>15</v>
      </c>
      <c r="B29" s="7">
        <v>1.0</v>
      </c>
      <c r="C29" s="5" t="s">
        <v>19</v>
      </c>
      <c r="D29" s="6" t="s">
        <v>17</v>
      </c>
      <c r="E29" s="7" t="b">
        <f t="shared" si="1"/>
        <v>0</v>
      </c>
      <c r="F29" s="7" t="str">
        <f t="shared" si="2"/>
        <v>NMin_2_P1_t1_A</v>
      </c>
      <c r="G29" s="5">
        <v>88.0</v>
      </c>
      <c r="H29" s="3" t="s">
        <v>18</v>
      </c>
      <c r="I29" s="11">
        <v>10.1953</v>
      </c>
      <c r="J29" s="4">
        <v>7.2241</v>
      </c>
      <c r="K29" s="8">
        <v>0.11835748792270513</v>
      </c>
      <c r="L29" s="9">
        <f t="shared" si="3"/>
        <v>1.845858725</v>
      </c>
      <c r="M29" s="4">
        <v>1.93</v>
      </c>
      <c r="N29" s="10" t="str">
        <f t="shared" si="4"/>
        <v>Bradford/JDG - 2025 GHG Exp
NMin t1 (Sample)
Lab No: 88 -- ID:NMin_2_P1_t1_A</v>
      </c>
      <c r="O29" s="10" t="str">
        <f t="shared" si="5"/>
        <v>Bradford/JDG - 2025 GHG Exp
NMin t1 (Reserve)
Lab No: 88 -- ID:NMin_2_P1_t1_A</v>
      </c>
    </row>
    <row r="30" ht="22.5" customHeight="1">
      <c r="A30" s="4" t="s">
        <v>15</v>
      </c>
      <c r="B30" s="7">
        <v>1.0</v>
      </c>
      <c r="C30" s="5" t="s">
        <v>16</v>
      </c>
      <c r="D30" s="6" t="s">
        <v>20</v>
      </c>
      <c r="E30" s="7" t="b">
        <f t="shared" si="1"/>
        <v>1</v>
      </c>
      <c r="F30" s="7" t="str">
        <f t="shared" si="2"/>
        <v>NMin_2_P1_t0_B</v>
      </c>
      <c r="G30" s="5">
        <v>89.0</v>
      </c>
      <c r="H30" s="3" t="s">
        <v>18</v>
      </c>
      <c r="I30" s="11">
        <v>10.2097</v>
      </c>
      <c r="J30" s="4">
        <v>7.2292</v>
      </c>
      <c r="K30" s="8">
        <v>0.11999999999999995</v>
      </c>
      <c r="L30" s="9">
        <f t="shared" si="3"/>
        <v>1.847012944</v>
      </c>
      <c r="M30" s="10"/>
      <c r="N30" s="10" t="str">
        <f t="shared" si="4"/>
        <v>Bradford/JDG - 2025 GHG Exp
NMin t0 (Sample)
Lab No: 89 -- ID:NMin_2_P1_t0_B</v>
      </c>
      <c r="O30" s="10" t="str">
        <f t="shared" si="5"/>
        <v>Bradford/JDG - 2025 GHG Exp
NMin t0 (Reserve)
Lab No: 89 -- ID:NMin_2_P1_t0_B</v>
      </c>
    </row>
    <row r="31" ht="22.5" customHeight="1">
      <c r="A31" s="4" t="s">
        <v>15</v>
      </c>
      <c r="B31" s="5">
        <v>2.0</v>
      </c>
      <c r="C31" s="5" t="s">
        <v>19</v>
      </c>
      <c r="D31" s="6" t="s">
        <v>17</v>
      </c>
      <c r="E31" s="7" t="b">
        <f t="shared" si="1"/>
        <v>0</v>
      </c>
      <c r="F31" s="7" t="str">
        <f t="shared" si="2"/>
        <v>NMin_2_P2_t1_A</v>
      </c>
      <c r="G31" s="5">
        <v>90.0</v>
      </c>
      <c r="H31" s="3" t="s">
        <v>18</v>
      </c>
      <c r="I31" s="11">
        <v>10.2499</v>
      </c>
      <c r="J31" s="4">
        <v>7.2605</v>
      </c>
      <c r="K31" s="8">
        <v>0.10876132930513606</v>
      </c>
      <c r="L31" s="9">
        <f t="shared" si="3"/>
        <v>1.856033237</v>
      </c>
      <c r="M31" s="4">
        <v>1.92</v>
      </c>
      <c r="N31" s="10" t="str">
        <f t="shared" si="4"/>
        <v>Bradford/JDG - 2025 GHG Exp
NMin t1 (Sample)
Lab No: 90 -- ID:NMin_2_P2_t1_A</v>
      </c>
      <c r="O31" s="10" t="str">
        <f t="shared" si="5"/>
        <v>Bradford/JDG - 2025 GHG Exp
NMin t1 (Reserve)
Lab No: 90 -- ID:NMin_2_P2_t1_A</v>
      </c>
    </row>
    <row r="32" ht="22.5" customHeight="1">
      <c r="A32" s="4" t="s">
        <v>15</v>
      </c>
      <c r="B32" s="5">
        <v>11.0</v>
      </c>
      <c r="C32" s="5" t="s">
        <v>16</v>
      </c>
      <c r="D32" s="6" t="s">
        <v>20</v>
      </c>
      <c r="E32" s="7" t="b">
        <f t="shared" si="1"/>
        <v>1</v>
      </c>
      <c r="F32" s="7" t="str">
        <f t="shared" si="2"/>
        <v>NMin_2_P11_t0_B</v>
      </c>
      <c r="G32" s="5">
        <v>91.0</v>
      </c>
      <c r="H32" s="3" t="s">
        <v>18</v>
      </c>
      <c r="I32" s="4">
        <v>10.1442</v>
      </c>
      <c r="J32" s="4">
        <v>7.0038</v>
      </c>
      <c r="K32" s="8">
        <v>0.12128712871287159</v>
      </c>
      <c r="L32" s="9">
        <f t="shared" si="3"/>
        <v>1.789311687</v>
      </c>
      <c r="M32" s="10"/>
      <c r="N32" s="10" t="str">
        <f t="shared" si="4"/>
        <v>Bradford/JDG - 2025 GHG Exp
NMin t0 (Sample)
Lab No: 91 -- ID:NMin_2_P11_t0_B</v>
      </c>
      <c r="O32" s="10" t="str">
        <f t="shared" si="5"/>
        <v>Bradford/JDG - 2025 GHG Exp
NMin t0 (Reserve)
Lab No: 91 -- ID:NMin_2_P11_t0_B</v>
      </c>
    </row>
    <row r="33" ht="22.5" customHeight="1">
      <c r="A33" s="4" t="s">
        <v>15</v>
      </c>
      <c r="B33" s="5">
        <v>14.0</v>
      </c>
      <c r="C33" s="5" t="s">
        <v>19</v>
      </c>
      <c r="D33" s="6" t="s">
        <v>20</v>
      </c>
      <c r="E33" s="7" t="b">
        <f t="shared" si="1"/>
        <v>0</v>
      </c>
      <c r="F33" s="7" t="str">
        <f t="shared" si="2"/>
        <v>NMin_2_P14_t1_B</v>
      </c>
      <c r="G33" s="5">
        <v>92.0</v>
      </c>
      <c r="H33" s="3" t="s">
        <v>18</v>
      </c>
      <c r="I33" s="4">
        <v>10.2268</v>
      </c>
      <c r="J33" s="4">
        <v>7.1991</v>
      </c>
      <c r="K33" s="8">
        <v>0.11643835616438351</v>
      </c>
      <c r="L33" s="9">
        <f t="shared" si="3"/>
        <v>1.839644135</v>
      </c>
      <c r="M33" s="4">
        <v>1.93</v>
      </c>
      <c r="N33" s="10" t="str">
        <f t="shared" si="4"/>
        <v>Bradford/JDG - 2025 GHG Exp
NMin t1 (Sample)
Lab No: 92 -- ID:NMin_2_P14_t1_B</v>
      </c>
      <c r="O33" s="10" t="str">
        <f t="shared" si="5"/>
        <v>Bradford/JDG - 2025 GHG Exp
NMin t1 (Reserve)
Lab No: 92 -- ID:NMin_2_P14_t1_B</v>
      </c>
    </row>
    <row r="34" ht="22.5" customHeight="1">
      <c r="A34" s="4" t="s">
        <v>15</v>
      </c>
      <c r="B34" s="5">
        <v>11.0</v>
      </c>
      <c r="C34" s="5" t="s">
        <v>16</v>
      </c>
      <c r="D34" s="6" t="s">
        <v>20</v>
      </c>
      <c r="E34" s="7" t="b">
        <f t="shared" si="1"/>
        <v>1</v>
      </c>
      <c r="F34" s="7" t="str">
        <f t="shared" si="2"/>
        <v>NMin_2_P11_t0_B</v>
      </c>
      <c r="G34" s="5">
        <v>93.0</v>
      </c>
      <c r="H34" s="3" t="s">
        <v>18</v>
      </c>
      <c r="I34" s="4">
        <v>10.1663</v>
      </c>
      <c r="J34" s="4">
        <v>7.3118</v>
      </c>
      <c r="K34" s="8">
        <v>0.12128712871287159</v>
      </c>
      <c r="L34" s="9">
        <f t="shared" si="3"/>
        <v>1.867998686</v>
      </c>
      <c r="M34" s="10"/>
      <c r="N34" s="10" t="str">
        <f t="shared" si="4"/>
        <v>Bradford/JDG - 2025 GHG Exp
NMin t0 (Sample)
Lab No: 93 -- ID:NMin_2_P11_t0_B</v>
      </c>
      <c r="O34" s="10" t="str">
        <f t="shared" si="5"/>
        <v>Bradford/JDG - 2025 GHG Exp
NMin t0 (Reserve)
Lab No: 93 -- ID:NMin_2_P11_t0_B</v>
      </c>
    </row>
    <row r="35" ht="22.5" customHeight="1">
      <c r="A35" s="4" t="s">
        <v>15</v>
      </c>
      <c r="B35" s="5">
        <v>13.0</v>
      </c>
      <c r="C35" s="5" t="s">
        <v>19</v>
      </c>
      <c r="D35" s="6" t="s">
        <v>17</v>
      </c>
      <c r="E35" s="7" t="b">
        <f t="shared" si="1"/>
        <v>0</v>
      </c>
      <c r="F35" s="7" t="str">
        <f t="shared" si="2"/>
        <v>NMin_2_P13_t1_A</v>
      </c>
      <c r="G35" s="5">
        <v>94.0</v>
      </c>
      <c r="H35" s="3" t="s">
        <v>18</v>
      </c>
      <c r="I35" s="4">
        <v>10.2418</v>
      </c>
      <c r="J35" s="4">
        <v>7.2256</v>
      </c>
      <c r="K35" s="8">
        <v>0.1286173633440514</v>
      </c>
      <c r="L35" s="9">
        <f t="shared" si="3"/>
        <v>1.845312432</v>
      </c>
      <c r="M35" s="4">
        <v>1.99</v>
      </c>
      <c r="N35" s="10" t="str">
        <f t="shared" si="4"/>
        <v>Bradford/JDG - 2025 GHG Exp
NMin t1 (Sample)
Lab No: 94 -- ID:NMin_2_P13_t1_A</v>
      </c>
      <c r="O35" s="10" t="str">
        <f t="shared" si="5"/>
        <v>Bradford/JDG - 2025 GHG Exp
NMin t1 (Reserve)
Lab No: 94 -- ID:NMin_2_P13_t1_A</v>
      </c>
    </row>
    <row r="36" ht="22.5" customHeight="1">
      <c r="A36" s="4" t="s">
        <v>15</v>
      </c>
      <c r="B36" s="5">
        <v>10.0</v>
      </c>
      <c r="C36" s="5" t="s">
        <v>16</v>
      </c>
      <c r="D36" s="6" t="s">
        <v>20</v>
      </c>
      <c r="E36" s="7" t="b">
        <f t="shared" si="1"/>
        <v>1</v>
      </c>
      <c r="F36" s="7" t="str">
        <f t="shared" si="2"/>
        <v>NMin_2_P10_t0_B</v>
      </c>
      <c r="G36" s="5">
        <v>95.0</v>
      </c>
      <c r="H36" s="3" t="s">
        <v>18</v>
      </c>
      <c r="I36" s="4">
        <v>10.2047</v>
      </c>
      <c r="J36" s="4">
        <v>7.1249</v>
      </c>
      <c r="K36" s="8">
        <v>0.12616822429906543</v>
      </c>
      <c r="L36" s="9">
        <f t="shared" si="3"/>
        <v>1.819813913</v>
      </c>
      <c r="M36" s="10"/>
      <c r="N36" s="10" t="str">
        <f t="shared" si="4"/>
        <v>Bradford/JDG - 2025 GHG Exp
NMin t0 (Sample)
Lab No: 95 -- ID:NMin_2_P10_t0_B</v>
      </c>
      <c r="O36" s="10" t="str">
        <f t="shared" si="5"/>
        <v>Bradford/JDG - 2025 GHG Exp
NMin t0 (Reserve)
Lab No: 95 -- ID:NMin_2_P10_t0_B</v>
      </c>
    </row>
    <row r="37" ht="22.5" customHeight="1">
      <c r="A37" s="4" t="s">
        <v>15</v>
      </c>
      <c r="B37" s="5">
        <v>9.0</v>
      </c>
      <c r="C37" s="5" t="s">
        <v>19</v>
      </c>
      <c r="D37" s="6" t="s">
        <v>20</v>
      </c>
      <c r="E37" s="7" t="b">
        <f t="shared" si="1"/>
        <v>0</v>
      </c>
      <c r="F37" s="7" t="str">
        <f t="shared" si="2"/>
        <v>NMin_2_P9_t1_B</v>
      </c>
      <c r="G37" s="5">
        <v>96.0</v>
      </c>
      <c r="H37" s="3" t="s">
        <v>18</v>
      </c>
      <c r="I37" s="4">
        <v>10.1771</v>
      </c>
      <c r="J37" s="4">
        <v>7.1851</v>
      </c>
      <c r="K37" s="8">
        <v>0.10839160839160841</v>
      </c>
      <c r="L37" s="9">
        <f t="shared" si="3"/>
        <v>1.836791726</v>
      </c>
      <c r="M37" s="4">
        <v>2.04</v>
      </c>
      <c r="N37" s="10" t="str">
        <f t="shared" si="4"/>
        <v>Bradford/JDG - 2025 GHG Exp
NMin t1 (Sample)
Lab No: 96 -- ID:NMin_2_P9_t1_B</v>
      </c>
      <c r="O37" s="10" t="str">
        <f t="shared" si="5"/>
        <v>Bradford/JDG - 2025 GHG Exp
NMin t1 (Reserve)
Lab No: 96 -- ID:NMin_2_P9_t1_B</v>
      </c>
    </row>
    <row r="38" ht="22.5" customHeight="1">
      <c r="A38" s="4" t="s">
        <v>15</v>
      </c>
      <c r="B38" s="5">
        <v>13.0</v>
      </c>
      <c r="C38" s="5" t="s">
        <v>16</v>
      </c>
      <c r="D38" s="6" t="s">
        <v>20</v>
      </c>
      <c r="E38" s="7" t="b">
        <f t="shared" si="1"/>
        <v>1</v>
      </c>
      <c r="F38" s="7" t="str">
        <f t="shared" si="2"/>
        <v>NMin_2_P13_t0_B</v>
      </c>
      <c r="G38" s="5">
        <v>97.0</v>
      </c>
      <c r="H38" s="3" t="s">
        <v>18</v>
      </c>
      <c r="I38" s="4">
        <v>10.2237</v>
      </c>
      <c r="J38" s="4">
        <v>7.0367</v>
      </c>
      <c r="K38" s="8">
        <v>0.128415300546448</v>
      </c>
      <c r="L38" s="9">
        <f t="shared" si="3"/>
        <v>1.797087965</v>
      </c>
      <c r="M38" s="10"/>
      <c r="N38" s="10" t="str">
        <f t="shared" si="4"/>
        <v>Bradford/JDG - 2025 GHG Exp
NMin t0 (Sample)
Lab No: 97 -- ID:NMin_2_P13_t0_B</v>
      </c>
      <c r="O38" s="10" t="str">
        <f t="shared" si="5"/>
        <v>Bradford/JDG - 2025 GHG Exp
NMin t0 (Reserve)
Lab No: 97 -- ID:NMin_2_P13_t0_B</v>
      </c>
    </row>
    <row r="39" ht="22.5" customHeight="1">
      <c r="A39" s="4" t="s">
        <v>15</v>
      </c>
      <c r="B39" s="5">
        <v>14.0</v>
      </c>
      <c r="C39" s="5" t="s">
        <v>19</v>
      </c>
      <c r="D39" s="6" t="s">
        <v>17</v>
      </c>
      <c r="E39" s="7" t="b">
        <f t="shared" si="1"/>
        <v>0</v>
      </c>
      <c r="F39" s="7" t="str">
        <f t="shared" si="2"/>
        <v>NMin_2_P14_t1_A</v>
      </c>
      <c r="G39" s="5">
        <v>98.0</v>
      </c>
      <c r="H39" s="3" t="s">
        <v>18</v>
      </c>
      <c r="I39" s="4">
        <v>10.1443</v>
      </c>
      <c r="J39" s="4">
        <v>7.4135</v>
      </c>
      <c r="K39" s="8">
        <v>0.1150234741784038</v>
      </c>
      <c r="L39" s="9">
        <f t="shared" si="3"/>
        <v>1.894563043</v>
      </c>
      <c r="M39" s="4">
        <v>1.94</v>
      </c>
      <c r="N39" s="10" t="str">
        <f t="shared" si="4"/>
        <v>Bradford/JDG - 2025 GHG Exp
NMin t1 (Sample)
Lab No: 98 -- ID:NMin_2_P14_t1_A</v>
      </c>
      <c r="O39" s="10" t="str">
        <f t="shared" si="5"/>
        <v>Bradford/JDG - 2025 GHG Exp
NMin t1 (Reserve)
Lab No: 98 -- ID:NMin_2_P14_t1_A</v>
      </c>
    </row>
    <row r="40" ht="22.5" customHeight="1">
      <c r="A40" s="4" t="s">
        <v>15</v>
      </c>
      <c r="B40" s="5">
        <v>12.0</v>
      </c>
      <c r="C40" s="5" t="s">
        <v>16</v>
      </c>
      <c r="D40" s="6" t="s">
        <v>17</v>
      </c>
      <c r="E40" s="7" t="b">
        <f t="shared" si="1"/>
        <v>1</v>
      </c>
      <c r="F40" s="7" t="str">
        <f t="shared" si="2"/>
        <v>NMin_2_P12_t0_A</v>
      </c>
      <c r="G40" s="5">
        <v>99.0</v>
      </c>
      <c r="H40" s="3" t="s">
        <v>18</v>
      </c>
      <c r="I40" s="4">
        <v>10.2342</v>
      </c>
      <c r="J40" s="4">
        <v>7.9931</v>
      </c>
      <c r="K40" s="8">
        <v>0.13538461538461538</v>
      </c>
      <c r="L40" s="9">
        <f t="shared" si="3"/>
        <v>2.040642556</v>
      </c>
      <c r="M40" s="10"/>
      <c r="N40" s="10" t="str">
        <f t="shared" si="4"/>
        <v>Bradford/JDG - 2025 GHG Exp
NMin t0 (Sample)
Lab No: 99 -- ID:NMin_2_P12_t0_A</v>
      </c>
      <c r="O40" s="10" t="str">
        <f t="shared" si="5"/>
        <v>Bradford/JDG - 2025 GHG Exp
NMin t0 (Reserve)
Lab No: 99 -- ID:NMin_2_P12_t0_A</v>
      </c>
    </row>
    <row r="41" ht="22.5" customHeight="1">
      <c r="A41" s="4" t="s">
        <v>15</v>
      </c>
      <c r="B41" s="5">
        <v>15.0</v>
      </c>
      <c r="C41" s="5" t="s">
        <v>19</v>
      </c>
      <c r="D41" s="6" t="s">
        <v>17</v>
      </c>
      <c r="E41" s="7" t="b">
        <f t="shared" si="1"/>
        <v>0</v>
      </c>
      <c r="F41" s="7" t="str">
        <f t="shared" si="2"/>
        <v>NMin_2_P15_t1_A</v>
      </c>
      <c r="G41" s="5">
        <v>100.0</v>
      </c>
      <c r="H41" s="3" t="s">
        <v>18</v>
      </c>
      <c r="I41" s="4">
        <v>10.2609</v>
      </c>
      <c r="J41" s="4">
        <v>7.3281</v>
      </c>
      <c r="K41" s="8">
        <v>0.12562814070351758</v>
      </c>
      <c r="L41" s="9">
        <f t="shared" si="3"/>
        <v>1.871764082</v>
      </c>
      <c r="M41" s="4">
        <v>1.9</v>
      </c>
      <c r="N41" s="10" t="str">
        <f t="shared" si="4"/>
        <v>Bradford/JDG - 2025 GHG Exp
NMin t1 (Sample)
Lab No: 100 -- ID:NMin_2_P15_t1_A</v>
      </c>
      <c r="O41" s="10" t="str">
        <f t="shared" si="5"/>
        <v>Bradford/JDG - 2025 GHG Exp
NMin t1 (Reserve)
Lab No: 100 -- ID:NMin_2_P15_t1_A</v>
      </c>
    </row>
    <row r="42" ht="22.5" customHeight="1">
      <c r="A42" s="4" t="s">
        <v>15</v>
      </c>
      <c r="B42" s="5">
        <v>12.0</v>
      </c>
      <c r="C42" s="5" t="s">
        <v>16</v>
      </c>
      <c r="D42" s="6" t="s">
        <v>20</v>
      </c>
      <c r="E42" s="7" t="b">
        <f t="shared" si="1"/>
        <v>1</v>
      </c>
      <c r="F42" s="7" t="str">
        <f t="shared" si="2"/>
        <v>NMin_2_P12_t0_B</v>
      </c>
      <c r="G42" s="5">
        <v>101.0</v>
      </c>
      <c r="H42" s="3" t="s">
        <v>18</v>
      </c>
      <c r="I42" s="4">
        <v>10.164</v>
      </c>
      <c r="J42" s="4">
        <v>7.2999</v>
      </c>
      <c r="K42" s="8">
        <v>0.1398809523809526</v>
      </c>
      <c r="L42" s="9">
        <f t="shared" si="3"/>
        <v>1.863256789</v>
      </c>
      <c r="M42" s="10"/>
      <c r="N42" s="10" t="str">
        <f t="shared" si="4"/>
        <v>Bradford/JDG - 2025 GHG Exp
NMin t0 (Sample)
Lab No: 101 -- ID:NMin_2_P12_t0_B</v>
      </c>
      <c r="O42" s="10" t="str">
        <f t="shared" si="5"/>
        <v>Bradford/JDG - 2025 GHG Exp
NMin t0 (Reserve)
Lab No: 101 -- ID:NMin_2_P12_t0_B</v>
      </c>
    </row>
    <row r="43" ht="22.5" customHeight="1">
      <c r="A43" s="4" t="s">
        <v>15</v>
      </c>
      <c r="B43" s="5">
        <v>9.0</v>
      </c>
      <c r="C43" s="5" t="s">
        <v>19</v>
      </c>
      <c r="D43" s="6" t="s">
        <v>17</v>
      </c>
      <c r="E43" s="7" t="b">
        <f t="shared" si="1"/>
        <v>0</v>
      </c>
      <c r="F43" s="7" t="str">
        <f t="shared" si="2"/>
        <v>NMin_2_P9_t1_A</v>
      </c>
      <c r="G43" s="5">
        <v>102.0</v>
      </c>
      <c r="H43" s="3" t="s">
        <v>18</v>
      </c>
      <c r="I43" s="4">
        <v>10.2466</v>
      </c>
      <c r="J43" s="4">
        <v>7.3598</v>
      </c>
      <c r="K43" s="8">
        <v>0.10489510489510499</v>
      </c>
      <c r="L43" s="9">
        <f t="shared" si="3"/>
        <v>1.881774641</v>
      </c>
      <c r="M43" s="4">
        <v>1.89</v>
      </c>
      <c r="N43" s="10" t="str">
        <f t="shared" si="4"/>
        <v>Bradford/JDG - 2025 GHG Exp
NMin t1 (Sample)
Lab No: 102 -- ID:NMin_2_P9_t1_A</v>
      </c>
      <c r="O43" s="10" t="str">
        <f t="shared" si="5"/>
        <v>Bradford/JDG - 2025 GHG Exp
NMin t1 (Reserve)
Lab No: 102 -- ID:NMin_2_P9_t1_A</v>
      </c>
    </row>
    <row r="44" ht="22.5" customHeight="1">
      <c r="A44" s="4" t="s">
        <v>15</v>
      </c>
      <c r="B44" s="5">
        <v>9.0</v>
      </c>
      <c r="C44" s="5" t="s">
        <v>16</v>
      </c>
      <c r="D44" s="6" t="s">
        <v>17</v>
      </c>
      <c r="E44" s="7" t="b">
        <f t="shared" si="1"/>
        <v>1</v>
      </c>
      <c r="F44" s="7" t="str">
        <f t="shared" si="2"/>
        <v>NMin_2_P9_t0_A</v>
      </c>
      <c r="G44" s="5">
        <v>103.0</v>
      </c>
      <c r="H44" s="3" t="s">
        <v>18</v>
      </c>
      <c r="I44" s="4">
        <v>10.2088</v>
      </c>
      <c r="J44" s="4">
        <v>7.4093</v>
      </c>
      <c r="K44" s="8">
        <v>0.10489510489510499</v>
      </c>
      <c r="L44" s="9">
        <f t="shared" si="3"/>
        <v>1.894430942</v>
      </c>
      <c r="M44" s="10"/>
      <c r="N44" s="10" t="str">
        <f t="shared" si="4"/>
        <v>Bradford/JDG - 2025 GHG Exp
NMin t0 (Sample)
Lab No: 103 -- ID:NMin_2_P9_t0_A</v>
      </c>
      <c r="O44" s="10" t="str">
        <f t="shared" si="5"/>
        <v>Bradford/JDG - 2025 GHG Exp
NMin t0 (Reserve)
Lab No: 103 -- ID:NMin_2_P9_t0_A</v>
      </c>
    </row>
    <row r="45" ht="22.5" customHeight="1">
      <c r="A45" s="4" t="s">
        <v>15</v>
      </c>
      <c r="B45" s="5">
        <v>7.0</v>
      </c>
      <c r="C45" s="5" t="s">
        <v>19</v>
      </c>
      <c r="D45" s="6" t="s">
        <v>17</v>
      </c>
      <c r="E45" s="7" t="b">
        <f t="shared" si="1"/>
        <v>0</v>
      </c>
      <c r="F45" s="7" t="str">
        <f t="shared" si="2"/>
        <v>NMin_2_P7_t1_A</v>
      </c>
      <c r="G45" s="5">
        <v>104.0</v>
      </c>
      <c r="H45" s="3" t="s">
        <v>18</v>
      </c>
      <c r="I45" s="4">
        <v>10.2507</v>
      </c>
      <c r="J45" s="4">
        <v>7.757</v>
      </c>
      <c r="K45" s="8">
        <v>0.11212121212121201</v>
      </c>
      <c r="L45" s="9">
        <f t="shared" si="3"/>
        <v>1.98262881</v>
      </c>
      <c r="M45" s="4">
        <v>1.86</v>
      </c>
      <c r="N45" s="10" t="str">
        <f t="shared" si="4"/>
        <v>Bradford/JDG - 2025 GHG Exp
NMin t1 (Sample)
Lab No: 104 -- ID:NMin_2_P7_t1_A</v>
      </c>
      <c r="O45" s="10" t="str">
        <f t="shared" si="5"/>
        <v>Bradford/JDG - 2025 GHG Exp
NMin t1 (Reserve)
Lab No: 104 -- ID:NMin_2_P7_t1_A</v>
      </c>
    </row>
    <row r="46" ht="22.5" customHeight="1">
      <c r="A46" s="4" t="s">
        <v>15</v>
      </c>
      <c r="B46" s="5">
        <v>7.0</v>
      </c>
      <c r="C46" s="5" t="s">
        <v>16</v>
      </c>
      <c r="D46" s="6" t="s">
        <v>20</v>
      </c>
      <c r="E46" s="7" t="b">
        <f t="shared" si="1"/>
        <v>1</v>
      </c>
      <c r="F46" s="7" t="str">
        <f t="shared" si="2"/>
        <v>NMin_2_P7_t0_B</v>
      </c>
      <c r="G46" s="5">
        <v>105.0</v>
      </c>
      <c r="H46" s="3" t="s">
        <v>18</v>
      </c>
      <c r="I46" s="4">
        <v>10.1846</v>
      </c>
      <c r="J46" s="4">
        <v>7.288</v>
      </c>
      <c r="K46" s="8">
        <v>0.11594202898550722</v>
      </c>
      <c r="L46" s="9">
        <f t="shared" si="3"/>
        <v>1.862406833</v>
      </c>
      <c r="M46" s="10"/>
      <c r="N46" s="10" t="str">
        <f t="shared" si="4"/>
        <v>Bradford/JDG - 2025 GHG Exp
NMin t0 (Sample)
Lab No: 105 -- ID:NMin_2_P7_t0_B</v>
      </c>
      <c r="O46" s="10" t="str">
        <f t="shared" si="5"/>
        <v>Bradford/JDG - 2025 GHG Exp
NMin t0 (Reserve)
Lab No: 105 -- ID:NMin_2_P7_t0_B</v>
      </c>
    </row>
    <row r="47" ht="22.5" customHeight="1">
      <c r="A47" s="4" t="s">
        <v>15</v>
      </c>
      <c r="B47" s="5">
        <v>7.0</v>
      </c>
      <c r="C47" s="5" t="s">
        <v>19</v>
      </c>
      <c r="D47" s="6" t="s">
        <v>20</v>
      </c>
      <c r="E47" s="7" t="b">
        <f t="shared" si="1"/>
        <v>0</v>
      </c>
      <c r="F47" s="7" t="str">
        <f t="shared" si="2"/>
        <v>NMin_2_P7_t1_B</v>
      </c>
      <c r="G47" s="5">
        <v>106.0</v>
      </c>
      <c r="H47" s="3" t="s">
        <v>18</v>
      </c>
      <c r="I47" s="4">
        <v>10.2274</v>
      </c>
      <c r="J47" s="4">
        <v>7.1043</v>
      </c>
      <c r="K47" s="8">
        <v>0.11594202898550722</v>
      </c>
      <c r="L47" s="9">
        <f t="shared" si="3"/>
        <v>1.815463345</v>
      </c>
      <c r="M47" s="4">
        <v>1.92</v>
      </c>
      <c r="N47" s="10" t="str">
        <f t="shared" si="4"/>
        <v>Bradford/JDG - 2025 GHG Exp
NMin t1 (Sample)
Lab No: 106 -- ID:NMin_2_P7_t1_B</v>
      </c>
      <c r="O47" s="10" t="str">
        <f t="shared" si="5"/>
        <v>Bradford/JDG - 2025 GHG Exp
NMin t1 (Reserve)
Lab No: 106 -- ID:NMin_2_P7_t1_B</v>
      </c>
    </row>
    <row r="48" ht="22.5" customHeight="1">
      <c r="A48" s="4" t="s">
        <v>15</v>
      </c>
      <c r="B48" s="5">
        <v>6.0</v>
      </c>
      <c r="C48" s="5" t="s">
        <v>16</v>
      </c>
      <c r="D48" s="6" t="s">
        <v>20</v>
      </c>
      <c r="E48" s="7" t="b">
        <f t="shared" si="1"/>
        <v>1</v>
      </c>
      <c r="F48" s="7" t="str">
        <f t="shared" si="2"/>
        <v>NMin_2_P6_t0_B</v>
      </c>
      <c r="G48" s="5">
        <v>107.0</v>
      </c>
      <c r="H48" s="3" t="s">
        <v>18</v>
      </c>
      <c r="I48" s="4">
        <v>10.1506</v>
      </c>
      <c r="J48" s="4">
        <v>7.1432</v>
      </c>
      <c r="K48" s="8">
        <v>0.12112676056338033</v>
      </c>
      <c r="L48" s="9">
        <f t="shared" si="3"/>
        <v>1.824939583</v>
      </c>
      <c r="M48" s="10"/>
      <c r="N48" s="10" t="str">
        <f t="shared" si="4"/>
        <v>Bradford/JDG - 2025 GHG Exp
NMin t0 (Sample)
Lab No: 107 -- ID:NMin_2_P6_t0_B</v>
      </c>
      <c r="O48" s="10" t="str">
        <f t="shared" si="5"/>
        <v>Bradford/JDG - 2025 GHG Exp
NMin t0 (Reserve)
Lab No: 107 -- ID:NMin_2_P6_t0_B</v>
      </c>
    </row>
    <row r="49" ht="22.5" customHeight="1">
      <c r="A49" s="4" t="s">
        <v>15</v>
      </c>
      <c r="B49" s="5">
        <v>10.0</v>
      </c>
      <c r="C49" s="5" t="s">
        <v>19</v>
      </c>
      <c r="D49" s="6" t="s">
        <v>17</v>
      </c>
      <c r="E49" s="7" t="b">
        <f t="shared" si="1"/>
        <v>0</v>
      </c>
      <c r="F49" s="7" t="str">
        <f t="shared" si="2"/>
        <v>NMin_2_P10_t1_A</v>
      </c>
      <c r="G49" s="5">
        <v>108.0</v>
      </c>
      <c r="H49" s="3" t="s">
        <v>18</v>
      </c>
      <c r="I49" s="4">
        <v>10.2227</v>
      </c>
      <c r="J49" s="4">
        <v>7.014</v>
      </c>
      <c r="K49" s="8">
        <v>0.11976047904191613</v>
      </c>
      <c r="L49" s="9">
        <f t="shared" si="3"/>
        <v>1.79205183</v>
      </c>
      <c r="M49" s="4">
        <v>1.9</v>
      </c>
      <c r="N49" s="10" t="str">
        <f t="shared" si="4"/>
        <v>Bradford/JDG - 2025 GHG Exp
NMin t1 (Sample)
Lab No: 108 -- ID:NMin_2_P10_t1_A</v>
      </c>
      <c r="O49" s="10" t="str">
        <f t="shared" si="5"/>
        <v>Bradford/JDG - 2025 GHG Exp
NMin t1 (Reserve)
Lab No: 108 -- ID:NMin_2_P10_t1_A</v>
      </c>
    </row>
    <row r="50" ht="22.5" customHeight="1">
      <c r="A50" s="4" t="s">
        <v>15</v>
      </c>
      <c r="B50" s="5">
        <v>5.0</v>
      </c>
      <c r="C50" s="5" t="s">
        <v>16</v>
      </c>
      <c r="D50" s="6" t="s">
        <v>17</v>
      </c>
      <c r="E50" s="7" t="b">
        <f t="shared" si="1"/>
        <v>1</v>
      </c>
      <c r="F50" s="7" t="str">
        <f t="shared" si="2"/>
        <v>NMin_2_P5_t0_A</v>
      </c>
      <c r="G50" s="5">
        <v>109.0</v>
      </c>
      <c r="H50" s="3" t="s">
        <v>18</v>
      </c>
      <c r="I50" s="4">
        <v>10.1872</v>
      </c>
      <c r="J50" s="4">
        <v>7.2379</v>
      </c>
      <c r="K50" s="8">
        <v>0.11575562700964658</v>
      </c>
      <c r="L50" s="9">
        <f t="shared" si="3"/>
        <v>1.849620983</v>
      </c>
      <c r="M50" s="10"/>
      <c r="N50" s="10" t="str">
        <f t="shared" si="4"/>
        <v>Bradford/JDG - 2025 GHG Exp
NMin t0 (Sample)
Lab No: 109 -- ID:NMin_2_P5_t0_A</v>
      </c>
      <c r="O50" s="10" t="str">
        <f t="shared" si="5"/>
        <v>Bradford/JDG - 2025 GHG Exp
NMin t0 (Reserve)
Lab No: 109 -- ID:NMin_2_P5_t0_A</v>
      </c>
    </row>
    <row r="51" ht="22.5" customHeight="1">
      <c r="A51" s="4" t="s">
        <v>15</v>
      </c>
      <c r="B51" s="5">
        <v>6.0</v>
      </c>
      <c r="C51" s="5" t="s">
        <v>19</v>
      </c>
      <c r="D51" s="6" t="s">
        <v>17</v>
      </c>
      <c r="E51" s="7" t="b">
        <f t="shared" si="1"/>
        <v>0</v>
      </c>
      <c r="F51" s="7" t="str">
        <f t="shared" si="2"/>
        <v>NMin_2_P6_t1_A</v>
      </c>
      <c r="G51" s="5">
        <v>110.0</v>
      </c>
      <c r="H51" s="3" t="s">
        <v>18</v>
      </c>
      <c r="I51" s="4">
        <v>10.1882</v>
      </c>
      <c r="J51" s="4">
        <v>7.2007</v>
      </c>
      <c r="K51" s="8">
        <v>0.1247216035634743</v>
      </c>
      <c r="L51" s="9">
        <f t="shared" si="3"/>
        <v>1.839305061</v>
      </c>
      <c r="M51" s="4">
        <v>1.94</v>
      </c>
      <c r="N51" s="10" t="str">
        <f t="shared" si="4"/>
        <v>Bradford/JDG - 2025 GHG Exp
NMin t1 (Sample)
Lab No: 110 -- ID:NMin_2_P6_t1_A</v>
      </c>
      <c r="O51" s="10" t="str">
        <f t="shared" si="5"/>
        <v>Bradford/JDG - 2025 GHG Exp
NMin t1 (Reserve)
Lab No: 110 -- ID:NMin_2_P6_t1_A</v>
      </c>
    </row>
    <row r="52" ht="22.5" customHeight="1">
      <c r="A52" s="4" t="s">
        <v>15</v>
      </c>
      <c r="B52" s="5">
        <v>7.0</v>
      </c>
      <c r="C52" s="5" t="s">
        <v>16</v>
      </c>
      <c r="D52" s="6" t="s">
        <v>17</v>
      </c>
      <c r="E52" s="7" t="b">
        <f t="shared" si="1"/>
        <v>1</v>
      </c>
      <c r="F52" s="7" t="str">
        <f t="shared" si="2"/>
        <v>NMin_2_P7_t0_A</v>
      </c>
      <c r="G52" s="5">
        <v>111.0</v>
      </c>
      <c r="H52" s="3" t="s">
        <v>18</v>
      </c>
      <c r="I52" s="4">
        <v>10.2486</v>
      </c>
      <c r="J52" s="4">
        <v>7.6234</v>
      </c>
      <c r="K52" s="8">
        <v>0.11212121212121201</v>
      </c>
      <c r="L52" s="9">
        <f t="shared" si="3"/>
        <v>1.94848169</v>
      </c>
      <c r="M52" s="10"/>
      <c r="N52" s="10" t="str">
        <f t="shared" si="4"/>
        <v>Bradford/JDG - 2025 GHG Exp
NMin t0 (Sample)
Lab No: 111 -- ID:NMin_2_P7_t0_A</v>
      </c>
      <c r="O52" s="10" t="str">
        <f t="shared" si="5"/>
        <v>Bradford/JDG - 2025 GHG Exp
NMin t0 (Reserve)
Lab No: 111 -- ID:NMin_2_P7_t0_A</v>
      </c>
    </row>
    <row r="53" ht="22.5" customHeight="1">
      <c r="A53" s="4" t="s">
        <v>15</v>
      </c>
      <c r="B53" s="5">
        <v>9.0</v>
      </c>
      <c r="C53" s="5" t="s">
        <v>19</v>
      </c>
      <c r="D53" s="6" t="s">
        <v>20</v>
      </c>
      <c r="E53" s="7" t="b">
        <f t="shared" si="1"/>
        <v>0</v>
      </c>
      <c r="F53" s="7" t="str">
        <f t="shared" si="2"/>
        <v>NMin_2_P9_t1_B</v>
      </c>
      <c r="G53" s="5">
        <v>112.0</v>
      </c>
      <c r="H53" s="3" t="s">
        <v>18</v>
      </c>
      <c r="I53" s="4">
        <v>10.3636</v>
      </c>
      <c r="J53" s="4">
        <v>7.4803</v>
      </c>
      <c r="K53" s="8">
        <v>0.10839160839160841</v>
      </c>
      <c r="L53" s="9">
        <f t="shared" si="3"/>
        <v>1.912256357</v>
      </c>
      <c r="M53" s="4">
        <v>1.93</v>
      </c>
      <c r="N53" s="10" t="str">
        <f t="shared" si="4"/>
        <v>Bradford/JDG - 2025 GHG Exp
NMin t1 (Sample)
Lab No: 112 -- ID:NMin_2_P9_t1_B</v>
      </c>
      <c r="O53" s="10" t="str">
        <f t="shared" si="5"/>
        <v>Bradford/JDG - 2025 GHG Exp
NMin t1 (Reserve)
Lab No: 112 -- ID:NMin_2_P9_t1_B</v>
      </c>
    </row>
    <row r="54" ht="22.5" customHeight="1">
      <c r="A54" s="4" t="s">
        <v>15</v>
      </c>
      <c r="B54" s="5">
        <v>4.0</v>
      </c>
      <c r="C54" s="5" t="s">
        <v>16</v>
      </c>
      <c r="D54" s="6" t="s">
        <v>17</v>
      </c>
      <c r="E54" s="7" t="b">
        <f t="shared" si="1"/>
        <v>1</v>
      </c>
      <c r="F54" s="7" t="str">
        <f t="shared" si="2"/>
        <v>NMin_2_P4_t0_A</v>
      </c>
      <c r="G54" s="5">
        <v>113.0</v>
      </c>
      <c r="H54" s="3" t="s">
        <v>18</v>
      </c>
      <c r="I54" s="4">
        <v>10.3608</v>
      </c>
      <c r="J54" s="4">
        <v>7.1016</v>
      </c>
      <c r="K54" s="8">
        <v>0.11660777385159013</v>
      </c>
      <c r="L54" s="9">
        <f t="shared" si="3"/>
        <v>1.814714085</v>
      </c>
      <c r="M54" s="10"/>
      <c r="N54" s="10" t="str">
        <f t="shared" si="4"/>
        <v>Bradford/JDG - 2025 GHG Exp
NMin t0 (Sample)
Lab No: 113 -- ID:NMin_2_P4_t0_A</v>
      </c>
      <c r="O54" s="10" t="str">
        <f t="shared" si="5"/>
        <v>Bradford/JDG - 2025 GHG Exp
NMin t0 (Reserve)
Lab No: 113 -- ID:NMin_2_P4_t0_A</v>
      </c>
    </row>
    <row r="55" ht="22.5" customHeight="1">
      <c r="A55" s="4" t="s">
        <v>15</v>
      </c>
      <c r="B55" s="5">
        <v>1.0</v>
      </c>
      <c r="C55" s="5" t="s">
        <v>19</v>
      </c>
      <c r="D55" s="6" t="s">
        <v>17</v>
      </c>
      <c r="E55" s="7" t="b">
        <f t="shared" si="1"/>
        <v>0</v>
      </c>
      <c r="F55" s="7" t="str">
        <f t="shared" si="2"/>
        <v>NMin_2_P1_t1_A</v>
      </c>
      <c r="G55" s="5">
        <v>114.0</v>
      </c>
      <c r="H55" s="3" t="s">
        <v>18</v>
      </c>
      <c r="I55" s="11">
        <v>10.2049</v>
      </c>
      <c r="J55" s="4">
        <v>7.2711</v>
      </c>
      <c r="K55" s="8">
        <v>0.11835748792270513</v>
      </c>
      <c r="L55" s="9">
        <f t="shared" si="3"/>
        <v>1.857867883</v>
      </c>
      <c r="M55" s="4">
        <v>1.85</v>
      </c>
      <c r="N55" s="10" t="str">
        <f t="shared" si="4"/>
        <v>Bradford/JDG - 2025 GHG Exp
NMin t1 (Sample)
Lab No: 114 -- ID:NMin_2_P1_t1_A</v>
      </c>
      <c r="O55" s="10" t="str">
        <f t="shared" si="5"/>
        <v>Bradford/JDG - 2025 GHG Exp
NMin t1 (Reserve)
Lab No: 114 -- ID:NMin_2_P1_t1_A</v>
      </c>
    </row>
    <row r="56" ht="22.5" customHeight="1">
      <c r="A56" s="4" t="s">
        <v>15</v>
      </c>
      <c r="B56" s="5">
        <v>2.0</v>
      </c>
      <c r="C56" s="5" t="s">
        <v>16</v>
      </c>
      <c r="D56" s="6" t="s">
        <v>17</v>
      </c>
      <c r="E56" s="7" t="b">
        <f t="shared" si="1"/>
        <v>1</v>
      </c>
      <c r="F56" s="7" t="str">
        <f t="shared" si="2"/>
        <v>NMin_2_P2_t0_A</v>
      </c>
      <c r="G56" s="5">
        <v>115.0</v>
      </c>
      <c r="H56" s="3" t="s">
        <v>18</v>
      </c>
      <c r="I56" s="11">
        <v>10.206</v>
      </c>
      <c r="J56" s="4">
        <v>7.4383</v>
      </c>
      <c r="K56" s="8">
        <v>0.10876132930513606</v>
      </c>
      <c r="L56" s="9">
        <f t="shared" si="3"/>
        <v>1.901485026</v>
      </c>
      <c r="M56" s="10"/>
      <c r="N56" s="10" t="str">
        <f t="shared" si="4"/>
        <v>Bradford/JDG - 2025 GHG Exp
NMin t0 (Sample)
Lab No: 115 -- ID:NMin_2_P2_t0_A</v>
      </c>
      <c r="O56" s="10" t="str">
        <f t="shared" si="5"/>
        <v>Bradford/JDG - 2025 GHG Exp
NMin t0 (Reserve)
Lab No: 115 -- ID:NMin_2_P2_t0_A</v>
      </c>
    </row>
    <row r="57" ht="22.5" customHeight="1">
      <c r="A57" s="4" t="s">
        <v>15</v>
      </c>
      <c r="B57" s="5">
        <v>3.0</v>
      </c>
      <c r="C57" s="5" t="s">
        <v>19</v>
      </c>
      <c r="D57" s="6" t="s">
        <v>20</v>
      </c>
      <c r="E57" s="7" t="b">
        <f t="shared" si="1"/>
        <v>0</v>
      </c>
      <c r="F57" s="7" t="str">
        <f t="shared" si="2"/>
        <v>NMin_2_P3_t1_B</v>
      </c>
      <c r="G57" s="5">
        <v>116.0</v>
      </c>
      <c r="H57" s="3" t="s">
        <v>18</v>
      </c>
      <c r="I57" s="11">
        <v>10.1468</v>
      </c>
      <c r="J57" s="4">
        <v>7.1683</v>
      </c>
      <c r="K57" s="8">
        <v>0.1362397820163488</v>
      </c>
      <c r="L57" s="9">
        <f t="shared" si="3"/>
        <v>1.829993844</v>
      </c>
      <c r="M57" s="4">
        <v>2.13</v>
      </c>
      <c r="N57" s="10" t="str">
        <f t="shared" si="4"/>
        <v>Bradford/JDG - 2025 GHG Exp
NMin t1 (Sample)
Lab No: 116 -- ID:NMin_2_P3_t1_B</v>
      </c>
      <c r="O57" s="10" t="str">
        <f t="shared" si="5"/>
        <v>Bradford/JDG - 2025 GHG Exp
NMin t1 (Reserve)
Lab No: 116 -- ID:NMin_2_P3_t1_B</v>
      </c>
    </row>
    <row r="58" ht="22.5" customHeight="1">
      <c r="A58" s="4" t="s">
        <v>15</v>
      </c>
      <c r="B58" s="5">
        <v>3.0</v>
      </c>
      <c r="C58" s="5" t="s">
        <v>16</v>
      </c>
      <c r="D58" s="6" t="s">
        <v>20</v>
      </c>
      <c r="E58" s="7" t="b">
        <f t="shared" si="1"/>
        <v>1</v>
      </c>
      <c r="F58" s="7" t="str">
        <f t="shared" si="2"/>
        <v>NMin_2_P3_t0_B</v>
      </c>
      <c r="G58" s="5">
        <v>117.0</v>
      </c>
      <c r="H58" s="3" t="s">
        <v>18</v>
      </c>
      <c r="I58" s="11">
        <v>10.2102</v>
      </c>
      <c r="J58" s="4">
        <v>7.1218</v>
      </c>
      <c r="K58" s="8">
        <v>0.1362397820163488</v>
      </c>
      <c r="L58" s="9">
        <f t="shared" si="3"/>
        <v>1.818122869</v>
      </c>
      <c r="M58" s="10"/>
      <c r="N58" s="10" t="str">
        <f t="shared" si="4"/>
        <v>Bradford/JDG - 2025 GHG Exp
NMin t0 (Sample)
Lab No: 117 -- ID:NMin_2_P3_t0_B</v>
      </c>
      <c r="O58" s="10" t="str">
        <f t="shared" si="5"/>
        <v>Bradford/JDG - 2025 GHG Exp
NMin t0 (Reserve)
Lab No: 117 -- ID:NMin_2_P3_t0_B</v>
      </c>
    </row>
    <row r="59" ht="22.5" customHeight="1">
      <c r="A59" s="4" t="s">
        <v>15</v>
      </c>
      <c r="B59" s="5">
        <v>1.0</v>
      </c>
      <c r="C59" s="5" t="s">
        <v>19</v>
      </c>
      <c r="D59" s="6" t="s">
        <v>20</v>
      </c>
      <c r="E59" s="7" t="b">
        <f t="shared" si="1"/>
        <v>0</v>
      </c>
      <c r="F59" s="7" t="str">
        <f t="shared" si="2"/>
        <v>NMin_2_P1_t1_B</v>
      </c>
      <c r="G59" s="5">
        <v>118.0</v>
      </c>
      <c r="H59" s="3" t="s">
        <v>18</v>
      </c>
      <c r="I59" s="11">
        <v>10.3004</v>
      </c>
      <c r="J59" s="4">
        <v>7.1498</v>
      </c>
      <c r="K59" s="8">
        <v>0.11999999999999995</v>
      </c>
      <c r="L59" s="9">
        <f t="shared" si="3"/>
        <v>1.826726768</v>
      </c>
      <c r="M59" s="4">
        <v>1.99</v>
      </c>
      <c r="N59" s="10" t="str">
        <f t="shared" si="4"/>
        <v>Bradford/JDG - 2025 GHG Exp
NMin t1 (Sample)
Lab No: 118 -- ID:NMin_2_P1_t1_B</v>
      </c>
      <c r="O59" s="10" t="str">
        <f t="shared" si="5"/>
        <v>Bradford/JDG - 2025 GHG Exp
NMin t1 (Reserve)
Lab No: 118 -- ID:NMin_2_P1_t1_B</v>
      </c>
    </row>
    <row r="60" ht="22.5" customHeight="1">
      <c r="A60" s="4" t="s">
        <v>15</v>
      </c>
      <c r="B60" s="5">
        <v>2.0</v>
      </c>
      <c r="C60" s="5" t="s">
        <v>16</v>
      </c>
      <c r="D60" s="6" t="s">
        <v>20</v>
      </c>
      <c r="E60" s="7" t="b">
        <f t="shared" si="1"/>
        <v>1</v>
      </c>
      <c r="F60" s="7" t="str">
        <f t="shared" si="2"/>
        <v>NMin_2_P2_t0_B</v>
      </c>
      <c r="G60" s="5">
        <v>119.0</v>
      </c>
      <c r="H60" s="3" t="s">
        <v>18</v>
      </c>
      <c r="I60" s="11">
        <v>10.153</v>
      </c>
      <c r="J60" s="4">
        <v>7.5896</v>
      </c>
      <c r="K60" s="8">
        <v>0.10757946210268958</v>
      </c>
      <c r="L60" s="9">
        <f t="shared" si="3"/>
        <v>1.940275012</v>
      </c>
      <c r="M60" s="10"/>
      <c r="N60" s="10" t="str">
        <f t="shared" si="4"/>
        <v>Bradford/JDG - 2025 GHG Exp
NMin t0 (Sample)
Lab No: 119 -- ID:NMin_2_P2_t0_B</v>
      </c>
      <c r="O60" s="10" t="str">
        <f t="shared" si="5"/>
        <v>Bradford/JDG - 2025 GHG Exp
NMin t0 (Reserve)
Lab No: 119 -- ID:NMin_2_P2_t0_B</v>
      </c>
    </row>
    <row r="61" ht="22.5" customHeight="1">
      <c r="A61" s="4" t="s">
        <v>15</v>
      </c>
      <c r="B61" s="5">
        <v>3.0</v>
      </c>
      <c r="C61" s="5" t="s">
        <v>19</v>
      </c>
      <c r="D61" s="6" t="s">
        <v>17</v>
      </c>
      <c r="E61" s="7" t="b">
        <f t="shared" si="1"/>
        <v>0</v>
      </c>
      <c r="F61" s="7" t="str">
        <f t="shared" si="2"/>
        <v>NMin_2_P3_t1_A</v>
      </c>
      <c r="G61" s="5">
        <v>120.0</v>
      </c>
      <c r="H61" s="3" t="s">
        <v>18</v>
      </c>
      <c r="I61" s="11">
        <v>10.1715</v>
      </c>
      <c r="J61" s="4">
        <v>7.4766</v>
      </c>
      <c r="K61" s="8">
        <v>0.13744075829383864</v>
      </c>
      <c r="L61" s="9">
        <f t="shared" si="3"/>
        <v>1.908587128</v>
      </c>
      <c r="M61" s="4">
        <v>1.9</v>
      </c>
      <c r="N61" s="10" t="str">
        <f t="shared" si="4"/>
        <v>Bradford/JDG - 2025 GHG Exp
NMin t1 (Sample)
Lab No: 120 -- ID:NMin_2_P3_t1_A</v>
      </c>
      <c r="O61" s="10" t="str">
        <f t="shared" si="5"/>
        <v>Bradford/JDG - 2025 GHG Exp
NMin t1 (Reserve)
Lab No: 120 -- ID:NMin_2_P3_t1_A</v>
      </c>
    </row>
    <row r="62" ht="22.5" customHeight="1">
      <c r="A62" s="4" t="s">
        <v>15</v>
      </c>
      <c r="B62" s="5">
        <v>1.0</v>
      </c>
      <c r="C62" s="5" t="s">
        <v>16</v>
      </c>
      <c r="D62" s="4" t="s">
        <v>21</v>
      </c>
      <c r="E62" s="7" t="str">
        <f t="shared" si="1"/>
        <v>#VALUE!</v>
      </c>
      <c r="F62" s="7" t="str">
        <f t="shared" si="2"/>
        <v>NMin_2_P1_t0_C</v>
      </c>
      <c r="G62" s="5" t="s">
        <v>22</v>
      </c>
      <c r="H62" s="12">
        <v>45874.0</v>
      </c>
      <c r="I62" s="11">
        <v>10.5274</v>
      </c>
      <c r="J62" s="4">
        <v>7.7228</v>
      </c>
      <c r="K62" s="8">
        <v>0.11835748792270513</v>
      </c>
      <c r="L62" s="9">
        <f t="shared" si="3"/>
        <v>1.973283559</v>
      </c>
      <c r="M62" s="4"/>
      <c r="N62" s="10" t="str">
        <f t="shared" si="4"/>
        <v>Bradford/JDG - 2025 GHG Exp
NMin t0 (Sample)
Lab No: x1 -- ID:NMin_2_P1_t0_C</v>
      </c>
      <c r="O62" s="10" t="str">
        <f t="shared" si="5"/>
        <v>Bradford/JDG - 2025 GHG Exp
NMin t0 (Reserve)
Lab No: x1 -- ID:NMin_2_P1_t0_C</v>
      </c>
    </row>
    <row r="63" ht="22.5" customHeight="1">
      <c r="A63" s="4" t="s">
        <v>15</v>
      </c>
      <c r="B63" s="5">
        <v>5.0</v>
      </c>
      <c r="C63" s="5" t="s">
        <v>16</v>
      </c>
      <c r="D63" s="4" t="s">
        <v>21</v>
      </c>
      <c r="E63" s="7" t="str">
        <f t="shared" si="1"/>
        <v>#VALUE!</v>
      </c>
      <c r="F63" s="7" t="str">
        <f t="shared" si="2"/>
        <v>NMin_2_P5_t0_C</v>
      </c>
      <c r="G63" s="5" t="s">
        <v>23</v>
      </c>
      <c r="H63" s="12">
        <v>45874.0</v>
      </c>
      <c r="I63" s="11">
        <v>10.6558</v>
      </c>
      <c r="J63" s="4">
        <v>7.27</v>
      </c>
      <c r="K63" s="8">
        <v>0.11575562700964658</v>
      </c>
      <c r="L63" s="9">
        <f t="shared" si="3"/>
        <v>1.85782403</v>
      </c>
      <c r="M63" s="4"/>
      <c r="N63" s="10" t="str">
        <f t="shared" si="4"/>
        <v>Bradford/JDG - 2025 GHG Exp
NMin t0 (Sample)
Lab No: x2 -- ID:NMin_2_P5_t0_C</v>
      </c>
      <c r="O63" s="10" t="str">
        <f t="shared" si="5"/>
        <v>Bradford/JDG - 2025 GHG Exp
NMin t0 (Reserve)
Lab No: x2 -- ID:NMin_2_P5_t0_C</v>
      </c>
    </row>
    <row r="64" ht="22.5" customHeight="1">
      <c r="A64" s="4" t="s">
        <v>15</v>
      </c>
      <c r="B64" s="5">
        <v>9.0</v>
      </c>
      <c r="C64" s="5" t="s">
        <v>16</v>
      </c>
      <c r="D64" s="4" t="s">
        <v>21</v>
      </c>
      <c r="E64" s="7" t="str">
        <f t="shared" si="1"/>
        <v>#VALUE!</v>
      </c>
      <c r="F64" s="7" t="str">
        <f t="shared" si="2"/>
        <v>NMin_2_P9_t0_C</v>
      </c>
      <c r="G64" s="5" t="s">
        <v>24</v>
      </c>
      <c r="H64" s="12">
        <v>45874.0</v>
      </c>
      <c r="I64" s="11">
        <v>10.7008</v>
      </c>
      <c r="J64" s="4">
        <v>7.5766</v>
      </c>
      <c r="K64" s="8">
        <v>0.10489510489510499</v>
      </c>
      <c r="L64" s="9">
        <f t="shared" si="3"/>
        <v>1.937206683</v>
      </c>
      <c r="M64" s="4"/>
      <c r="N64" s="10" t="str">
        <f t="shared" si="4"/>
        <v>Bradford/JDG - 2025 GHG Exp
NMin t0 (Sample)
Lab No: x3 -- ID:NMin_2_P9_t0_C</v>
      </c>
      <c r="O64" s="10" t="str">
        <f t="shared" si="5"/>
        <v>Bradford/JDG - 2025 GHG Exp
NMin t0 (Reserve)
Lab No: x3 -- ID:NMin_2_P9_t0_C</v>
      </c>
    </row>
    <row r="65" ht="22.5" customHeight="1">
      <c r="A65" s="4" t="s">
        <v>15</v>
      </c>
      <c r="B65" s="5">
        <v>14.0</v>
      </c>
      <c r="C65" s="5" t="s">
        <v>16</v>
      </c>
      <c r="D65" s="4" t="s">
        <v>21</v>
      </c>
      <c r="E65" s="7" t="str">
        <f t="shared" si="1"/>
        <v>#VALUE!</v>
      </c>
      <c r="F65" s="7" t="str">
        <f t="shared" si="2"/>
        <v>NMin_2_P14_t0_C</v>
      </c>
      <c r="G65" s="5" t="s">
        <v>25</v>
      </c>
      <c r="H65" s="12">
        <v>45874.0</v>
      </c>
      <c r="I65" s="11">
        <v>10.6021</v>
      </c>
      <c r="J65" s="4">
        <v>7.1949</v>
      </c>
      <c r="K65" s="8">
        <v>0.1150234741784038</v>
      </c>
      <c r="L65" s="9">
        <f t="shared" si="3"/>
        <v>1.838698541</v>
      </c>
      <c r="M65" s="4"/>
      <c r="N65" s="10" t="str">
        <f t="shared" si="4"/>
        <v>Bradford/JDG - 2025 GHG Exp
NMin t0 (Sample)
Lab No: x4 -- ID:NMin_2_P14_t0_C</v>
      </c>
      <c r="O65" s="10" t="str">
        <f t="shared" si="5"/>
        <v>Bradford/JDG - 2025 GHG Exp
NMin t0 (Reserve)
Lab No: x4 -- ID:NMin_2_P14_t0_C</v>
      </c>
    </row>
    <row r="66" ht="22.5" customHeight="1">
      <c r="A66" s="4" t="s">
        <v>15</v>
      </c>
      <c r="B66" s="5">
        <v>15.0</v>
      </c>
      <c r="C66" s="5" t="s">
        <v>16</v>
      </c>
      <c r="D66" s="4" t="s">
        <v>21</v>
      </c>
      <c r="E66" s="7" t="str">
        <f t="shared" si="1"/>
        <v>#VALUE!</v>
      </c>
      <c r="F66" s="7" t="str">
        <f t="shared" si="2"/>
        <v>NMin_2_P15_t0_C</v>
      </c>
      <c r="G66" s="5" t="s">
        <v>26</v>
      </c>
      <c r="H66" s="12">
        <v>45874.0</v>
      </c>
      <c r="I66" s="11">
        <v>10.614</v>
      </c>
      <c r="J66" s="4">
        <v>7.8051</v>
      </c>
      <c r="K66" s="8">
        <v>0.12562814070351758</v>
      </c>
      <c r="L66" s="9">
        <f t="shared" si="3"/>
        <v>1.993600774</v>
      </c>
      <c r="M66" s="4"/>
      <c r="N66" s="10" t="str">
        <f t="shared" si="4"/>
        <v>Bradford/JDG - 2025 GHG Exp
NMin t0 (Sample)
Lab No: x5 -- ID:NMin_2_P15_t0_C</v>
      </c>
      <c r="O66" s="10" t="str">
        <f t="shared" si="5"/>
        <v>Bradford/JDG - 2025 GHG Exp
NMin t0 (Reserve)
Lab No: x5 -- ID:NMin_2_P15_t0_C</v>
      </c>
    </row>
    <row r="67" ht="22.5" customHeight="1">
      <c r="A67" s="4" t="s">
        <v>15</v>
      </c>
      <c r="B67" s="5">
        <v>4.0</v>
      </c>
      <c r="C67" s="5" t="s">
        <v>19</v>
      </c>
      <c r="D67" s="4" t="s">
        <v>21</v>
      </c>
      <c r="E67" s="7" t="str">
        <f t="shared" si="1"/>
        <v>#VALUE!</v>
      </c>
      <c r="F67" s="7" t="str">
        <f t="shared" si="2"/>
        <v>NMin_2_P4_t1_C</v>
      </c>
      <c r="G67" s="5" t="s">
        <v>27</v>
      </c>
      <c r="H67" s="12">
        <v>45874.0</v>
      </c>
      <c r="I67" s="11">
        <v>10.5451</v>
      </c>
      <c r="J67" s="4">
        <v>7.1064</v>
      </c>
      <c r="K67" s="8">
        <v>0.11660777385159013</v>
      </c>
      <c r="L67" s="9">
        <f t="shared" si="3"/>
        <v>1.815940657</v>
      </c>
      <c r="M67" s="4">
        <v>1.9052</v>
      </c>
      <c r="N67" s="10" t="str">
        <f t="shared" si="4"/>
        <v>Bradford/JDG - 2025 GHG Exp
NMin t1 (Sample)
Lab No: x6 -- ID:NMin_2_P4_t1_C</v>
      </c>
      <c r="O67" s="10" t="str">
        <f t="shared" si="5"/>
        <v>Bradford/JDG - 2025 GHG Exp
NMin t1 (Reserve)
Lab No: x6 -- ID:NMin_2_P4_t1_C</v>
      </c>
    </row>
    <row r="68" ht="22.5" customHeight="1">
      <c r="A68" s="4" t="s">
        <v>15</v>
      </c>
      <c r="B68" s="5">
        <v>6.0</v>
      </c>
      <c r="C68" s="5" t="s">
        <v>19</v>
      </c>
      <c r="D68" s="4" t="s">
        <v>21</v>
      </c>
      <c r="E68" s="7" t="str">
        <f t="shared" si="1"/>
        <v>#VALUE!</v>
      </c>
      <c r="F68" s="7" t="str">
        <f t="shared" si="2"/>
        <v>NMin_2_P6_t1_C</v>
      </c>
      <c r="G68" s="5" t="s">
        <v>28</v>
      </c>
      <c r="H68" s="12">
        <v>45874.0</v>
      </c>
      <c r="I68" s="11">
        <v>10.7245</v>
      </c>
      <c r="J68" s="4">
        <v>7.5601</v>
      </c>
      <c r="K68" s="8">
        <v>0.1247216035634743</v>
      </c>
      <c r="L68" s="9">
        <f t="shared" si="3"/>
        <v>1.931108113</v>
      </c>
      <c r="M68" s="4">
        <v>2.043</v>
      </c>
      <c r="N68" s="10" t="str">
        <f t="shared" si="4"/>
        <v>Bradford/JDG - 2025 GHG Exp
NMin t1 (Sample)
Lab No: x7 -- ID:NMin_2_P6_t1_C</v>
      </c>
      <c r="O68" s="10" t="str">
        <f t="shared" si="5"/>
        <v>Bradford/JDG - 2025 GHG Exp
NMin t1 (Reserve)
Lab No: x7 -- ID:NMin_2_P6_t1_C</v>
      </c>
    </row>
    <row r="69" ht="22.5" customHeight="1">
      <c r="A69" s="4" t="s">
        <v>15</v>
      </c>
      <c r="B69" s="5">
        <v>11.0</v>
      </c>
      <c r="C69" s="5" t="s">
        <v>19</v>
      </c>
      <c r="D69" s="4" t="s">
        <v>21</v>
      </c>
      <c r="E69" s="7" t="str">
        <f t="shared" si="1"/>
        <v>#VALUE!</v>
      </c>
      <c r="F69" s="7" t="str">
        <f t="shared" si="2"/>
        <v>NMin_2_P11_t1_C</v>
      </c>
      <c r="G69" s="5" t="s">
        <v>29</v>
      </c>
      <c r="H69" s="12">
        <v>45874.0</v>
      </c>
      <c r="I69" s="11">
        <v>10.6063</v>
      </c>
      <c r="J69" s="4">
        <v>7.3082</v>
      </c>
      <c r="K69" s="8">
        <v>0.12826603325415678</v>
      </c>
      <c r="L69" s="9">
        <f t="shared" si="3"/>
        <v>1.866439454</v>
      </c>
      <c r="M69" s="4">
        <v>1.9074</v>
      </c>
      <c r="N69" s="10" t="str">
        <f t="shared" si="4"/>
        <v>Bradford/JDG - 2025 GHG Exp
NMin t1 (Sample)
Lab No: x8 -- ID:NMin_2_P11_t1_C</v>
      </c>
      <c r="O69" s="10" t="str">
        <f t="shared" si="5"/>
        <v>Bradford/JDG - 2025 GHG Exp
NMin t1 (Reserve)
Lab No: x8 -- ID:NMin_2_P11_t1_C</v>
      </c>
    </row>
    <row r="70" ht="22.5" customHeight="1">
      <c r="A70" s="4" t="s">
        <v>15</v>
      </c>
      <c r="B70" s="5">
        <v>12.0</v>
      </c>
      <c r="C70" s="5" t="s">
        <v>19</v>
      </c>
      <c r="D70" s="4" t="s">
        <v>21</v>
      </c>
      <c r="E70" s="7" t="str">
        <f t="shared" si="1"/>
        <v>#VALUE!</v>
      </c>
      <c r="F70" s="7" t="str">
        <f t="shared" si="2"/>
        <v>NMin_2_P12_t1_C</v>
      </c>
      <c r="G70" s="5" t="s">
        <v>30</v>
      </c>
      <c r="H70" s="12">
        <v>45874.0</v>
      </c>
      <c r="I70" s="11">
        <v>10.5757</v>
      </c>
      <c r="J70" s="4">
        <v>7.2738</v>
      </c>
      <c r="K70" s="8">
        <v>0.13538461538461538</v>
      </c>
      <c r="L70" s="9">
        <f t="shared" si="3"/>
        <v>1.857004895</v>
      </c>
      <c r="M70" s="4">
        <v>1.9166</v>
      </c>
      <c r="N70" s="10" t="str">
        <f t="shared" si="4"/>
        <v>Bradford/JDG - 2025 GHG Exp
NMin t1 (Sample)
Lab No: x9 -- ID:NMin_2_P12_t1_C</v>
      </c>
      <c r="O70" s="10" t="str">
        <f t="shared" si="5"/>
        <v>Bradford/JDG - 2025 GHG Exp
NMin t1 (Reserve)
Lab No: x9 -- ID:NMin_2_P12_t1_C</v>
      </c>
    </row>
  </sheetData>
  <dataValidations>
    <dataValidation type="custom" allowBlank="1" showDropDown="1" sqref="H2:H70">
      <formula1>OR(NOT(ISERROR(DATEVALUE(H2))), AND(ISNUMBER(H2), LEFT(CELL("format", H2))="D"))</formula1>
    </dataValidation>
    <dataValidation type="custom" allowBlank="1" showDropDown="1" sqref="B2:B70 F2:G70 K2:L7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