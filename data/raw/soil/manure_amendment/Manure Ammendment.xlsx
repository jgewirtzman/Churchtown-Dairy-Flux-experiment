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<sst xmlns="http://schemas.openxmlformats.org/spreadsheetml/2006/main" count="74" uniqueCount="35">
  <si>
    <t>Sampling_Date</t>
  </si>
  <si>
    <t>Plot</t>
  </si>
  <si>
    <t>Timepoint</t>
  </si>
  <si>
    <t>Replicate</t>
  </si>
  <si>
    <t>Sample_ID</t>
  </si>
  <si>
    <t>Lab_No</t>
  </si>
  <si>
    <t>Date_Weighed</t>
  </si>
  <si>
    <t>Mass_Tube_g</t>
  </si>
  <si>
    <t>Mass_Soil_g</t>
  </si>
  <si>
    <t>GWC</t>
  </si>
  <si>
    <t>Target_Mass_Water_To_Add_g</t>
  </si>
  <si>
    <t>Mass_Water_Added_g</t>
  </si>
  <si>
    <t>Label - Sample</t>
  </si>
  <si>
    <t>Label - Reserve</t>
  </si>
  <si>
    <t>29-05-2025</t>
  </si>
  <si>
    <t>Compost</t>
  </si>
  <si>
    <t>t0</t>
  </si>
  <si>
    <t>Aa</t>
  </si>
  <si>
    <t>z1a</t>
  </si>
  <si>
    <t>Ab</t>
  </si>
  <si>
    <t>z1b</t>
  </si>
  <si>
    <t>Ba</t>
  </si>
  <si>
    <t>z2a</t>
  </si>
  <si>
    <t>Bb</t>
  </si>
  <si>
    <t>z2b</t>
  </si>
  <si>
    <t>Ca</t>
  </si>
  <si>
    <t>z3a</t>
  </si>
  <si>
    <t>Cb</t>
  </si>
  <si>
    <t>z3b</t>
  </si>
  <si>
    <t>Slurry</t>
  </si>
  <si>
    <t>z4a</t>
  </si>
  <si>
    <t>z4b</t>
  </si>
  <si>
    <t>z5a</t>
  </si>
  <si>
    <t>z6a</t>
  </si>
  <si>
    <t>z6b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</si>
</sst>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" displayName="Table1" name="Table1" id="1">
  <tableColumns count="14">
    <tableColumn name="Sampling_Date" id="1"/>
    <tableColumn name="Plot" id="2"/>
    <tableColumn name="Timepoint" id="3"/>
    <tableColumn name="Replicate" id="4"/>
    <tableColumn name="Sample_ID" id="5"/>
    <tableColumn name="Lab_No" id="6"/>
    <tableColumn name="Date_Weighed" id="7"/>
    <tableColumn name="Mass_Tube_g" id="8"/>
    <tableColumn name="Mass_Soil_g" id="9"/>
    <tableColumn name="GWC" id="10"/>
    <tableColumn name="Target_Mass_Water_To_Add_g" id="11"/>
    <tableColumn name="Mass_Water_Added_g" id="12"/>
    <tableColumn name="Label - Sample" id="13"/>
    <tableColumn name="Label - Reserve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3" width="13.0"/>
    <col customWidth="1" min="4" max="4" width="12.38"/>
    <col customWidth="1" min="5" max="5" width="20.63"/>
    <col customWidth="1" min="6" max="6" width="11.13"/>
    <col customWidth="1" min="7" max="7" width="19.38"/>
    <col customWidth="1" min="8" max="8" width="15.63"/>
    <col customWidth="1" min="9" max="9" width="14.75"/>
    <col customWidth="1" min="10" max="10" width="12.5"/>
    <col customWidth="1" min="11" max="11" width="31.38"/>
    <col customWidth="1" min="12" max="12" width="22.75"/>
    <col customWidth="1" min="13" max="14" width="3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ht="22.5" customHeight="1">
      <c r="A2" s="5" t="s">
        <v>14</v>
      </c>
      <c r="B2" s="6" t="s">
        <v>15</v>
      </c>
      <c r="C2" s="6" t="s">
        <v>16</v>
      </c>
      <c r="D2" s="7" t="s">
        <v>17</v>
      </c>
      <c r="E2" s="8" t="str">
        <f t="shared" ref="E2:E13" si="1">"NMin_1_P"&amp;B2&amp;"_"&amp;C2&amp;"_"&amp;D2</f>
        <v>NMin_1_PCompost_t0_Aa</v>
      </c>
      <c r="F2" s="7" t="s">
        <v>18</v>
      </c>
      <c r="G2" s="9">
        <v>45875.0</v>
      </c>
      <c r="I2" s="7">
        <v>6.373</v>
      </c>
      <c r="J2" s="6"/>
      <c r="K2" s="10" t="str">
        <f>IF(J2="","",((I2/(1+J2/100))*(1+25.7/100))-I2)</f>
        <v/>
      </c>
      <c r="L2" s="11"/>
      <c r="M2" s="12" t="str">
        <f t="shared" ref="M2:M13" si="2">"Bradford/JDG - 2025 GHG Exp"&amp;CHAR(10)&amp;"NMin "&amp;B2&amp;" (Sample)"&amp;CHAR(10)&amp;"Lab No: "&amp;F2&amp;" -- ID:"&amp;E2</f>
        <v>Bradford/JDG - 2025 GHG Exp
NMin Compost (Sample)
Lab No: z1a -- ID:NMin_1_PCompost_t0_Aa</v>
      </c>
      <c r="N2" s="13" t="str">
        <f t="shared" ref="N2:N13" si="3">"Bradford/JDG - 2025 GHG Exp"&amp;CHAR(10)&amp;"NMin "&amp;B2&amp;" (Reserve)"&amp;CHAR(10)&amp;"Lab No: "&amp;F2&amp;" -- ID:"&amp;E2</f>
        <v>Bradford/JDG - 2025 GHG Exp
NMin Compost (Reserve)
Lab No: z1a -- ID:NMin_1_PCompost_t0_Aa</v>
      </c>
    </row>
    <row r="3" ht="22.5" customHeight="1">
      <c r="A3" s="5" t="s">
        <v>14</v>
      </c>
      <c r="B3" s="6" t="s">
        <v>15</v>
      </c>
      <c r="C3" s="6" t="s">
        <v>16</v>
      </c>
      <c r="D3" s="7" t="s">
        <v>19</v>
      </c>
      <c r="E3" s="8" t="str">
        <f t="shared" si="1"/>
        <v>NMin_1_PCompost_t0_Ab</v>
      </c>
      <c r="F3" s="7" t="s">
        <v>20</v>
      </c>
      <c r="G3" s="9">
        <v>45875.0</v>
      </c>
      <c r="I3" s="7">
        <v>6.798</v>
      </c>
      <c r="J3" s="6"/>
      <c r="K3" s="10"/>
      <c r="L3" s="11"/>
      <c r="M3" s="14" t="str">
        <f t="shared" si="2"/>
        <v>Bradford/JDG - 2025 GHG Exp
NMin Compost (Sample)
Lab No: z1b -- ID:NMin_1_PCompost_t0_Ab</v>
      </c>
      <c r="N3" s="15" t="str">
        <f t="shared" si="3"/>
        <v>Bradford/JDG - 2025 GHG Exp
NMin Compost (Reserve)
Lab No: z1b -- ID:NMin_1_PCompost_t0_Ab</v>
      </c>
    </row>
    <row r="4" ht="22.5" customHeight="1">
      <c r="A4" s="5" t="s">
        <v>14</v>
      </c>
      <c r="B4" s="6" t="s">
        <v>15</v>
      </c>
      <c r="C4" s="6" t="s">
        <v>16</v>
      </c>
      <c r="D4" s="7" t="s">
        <v>21</v>
      </c>
      <c r="E4" s="8" t="str">
        <f t="shared" si="1"/>
        <v>NMin_1_PCompost_t0_Ba</v>
      </c>
      <c r="F4" s="7" t="s">
        <v>22</v>
      </c>
      <c r="G4" s="9">
        <v>45875.0</v>
      </c>
      <c r="I4" s="7">
        <v>7.286</v>
      </c>
      <c r="J4" s="6"/>
      <c r="K4" s="10" t="str">
        <f>IF(J4="","",((I4/(1+J4/100))*(1+25.7/100))-I4)</f>
        <v/>
      </c>
      <c r="L4" s="11"/>
      <c r="M4" s="12" t="str">
        <f t="shared" si="2"/>
        <v>Bradford/JDG - 2025 GHG Exp
NMin Compost (Sample)
Lab No: z2a -- ID:NMin_1_PCompost_t0_Ba</v>
      </c>
      <c r="N4" s="13" t="str">
        <f t="shared" si="3"/>
        <v>Bradford/JDG - 2025 GHG Exp
NMin Compost (Reserve)
Lab No: z2a -- ID:NMin_1_PCompost_t0_Ba</v>
      </c>
    </row>
    <row r="5" ht="22.5" customHeight="1">
      <c r="A5" s="5" t="s">
        <v>14</v>
      </c>
      <c r="B5" s="6" t="s">
        <v>15</v>
      </c>
      <c r="C5" s="6" t="s">
        <v>16</v>
      </c>
      <c r="D5" s="7" t="s">
        <v>23</v>
      </c>
      <c r="E5" s="8" t="str">
        <f t="shared" si="1"/>
        <v>NMin_1_PCompost_t0_Bb</v>
      </c>
      <c r="F5" s="7" t="s">
        <v>24</v>
      </c>
      <c r="G5" s="9">
        <v>45875.0</v>
      </c>
      <c r="I5" s="7">
        <v>7.172</v>
      </c>
      <c r="J5" s="6"/>
      <c r="K5" s="10"/>
      <c r="L5" s="11"/>
      <c r="M5" s="14" t="str">
        <f t="shared" si="2"/>
        <v>Bradford/JDG - 2025 GHG Exp
NMin Compost (Sample)
Lab No: z2b -- ID:NMin_1_PCompost_t0_Bb</v>
      </c>
      <c r="N5" s="15" t="str">
        <f t="shared" si="3"/>
        <v>Bradford/JDG - 2025 GHG Exp
NMin Compost (Reserve)
Lab No: z2b -- ID:NMin_1_PCompost_t0_Bb</v>
      </c>
    </row>
    <row r="6" ht="22.5" customHeight="1">
      <c r="A6" s="5" t="s">
        <v>14</v>
      </c>
      <c r="B6" s="6" t="s">
        <v>15</v>
      </c>
      <c r="C6" s="6" t="s">
        <v>16</v>
      </c>
      <c r="D6" s="7" t="s">
        <v>25</v>
      </c>
      <c r="E6" s="8" t="str">
        <f t="shared" si="1"/>
        <v>NMin_1_PCompost_t0_Ca</v>
      </c>
      <c r="F6" s="7" t="s">
        <v>26</v>
      </c>
      <c r="G6" s="9">
        <v>45875.0</v>
      </c>
      <c r="I6" s="7">
        <v>6.422</v>
      </c>
      <c r="J6" s="6"/>
      <c r="K6" s="10" t="str">
        <f>IF(J6="","",((I6/(1+J6/100))*(1+25.7/100))-I6)</f>
        <v/>
      </c>
      <c r="L6" s="11"/>
      <c r="M6" s="12" t="str">
        <f t="shared" si="2"/>
        <v>Bradford/JDG - 2025 GHG Exp
NMin Compost (Sample)
Lab No: z3a -- ID:NMin_1_PCompost_t0_Ca</v>
      </c>
      <c r="N6" s="13" t="str">
        <f t="shared" si="3"/>
        <v>Bradford/JDG - 2025 GHG Exp
NMin Compost (Reserve)
Lab No: z3a -- ID:NMin_1_PCompost_t0_Ca</v>
      </c>
    </row>
    <row r="7" ht="22.5" customHeight="1">
      <c r="A7" s="5" t="s">
        <v>14</v>
      </c>
      <c r="B7" s="6" t="s">
        <v>15</v>
      </c>
      <c r="C7" s="6" t="s">
        <v>16</v>
      </c>
      <c r="D7" s="7" t="s">
        <v>27</v>
      </c>
      <c r="E7" s="8" t="str">
        <f t="shared" si="1"/>
        <v>NMin_1_PCompost_t0_Cb</v>
      </c>
      <c r="F7" s="7" t="s">
        <v>28</v>
      </c>
      <c r="G7" s="9">
        <v>45875.0</v>
      </c>
      <c r="I7" s="7">
        <v>7.225</v>
      </c>
      <c r="J7" s="6"/>
      <c r="K7" s="10"/>
      <c r="L7" s="11"/>
      <c r="M7" s="14" t="str">
        <f t="shared" si="2"/>
        <v>Bradford/JDG - 2025 GHG Exp
NMin Compost (Sample)
Lab No: z3b -- ID:NMin_1_PCompost_t0_Cb</v>
      </c>
      <c r="N7" s="15" t="str">
        <f t="shared" si="3"/>
        <v>Bradford/JDG - 2025 GHG Exp
NMin Compost (Reserve)
Lab No: z3b -- ID:NMin_1_PCompost_t0_Cb</v>
      </c>
    </row>
    <row r="8" ht="22.5" customHeight="1">
      <c r="A8" s="5" t="s">
        <v>14</v>
      </c>
      <c r="B8" s="6" t="s">
        <v>29</v>
      </c>
      <c r="C8" s="6" t="s">
        <v>16</v>
      </c>
      <c r="D8" s="7" t="s">
        <v>17</v>
      </c>
      <c r="E8" s="8" t="str">
        <f t="shared" si="1"/>
        <v>NMin_1_PSlurry_t0_Aa</v>
      </c>
      <c r="F8" s="7" t="s">
        <v>30</v>
      </c>
      <c r="G8" s="9">
        <v>45875.0</v>
      </c>
      <c r="I8" s="7">
        <v>8.338</v>
      </c>
      <c r="J8" s="6"/>
      <c r="K8" s="10" t="str">
        <f>IF(J8="","",((I8/(1+J8/100))*(1+25.7/100))-I8)</f>
        <v/>
      </c>
      <c r="L8" s="11"/>
      <c r="M8" s="12" t="str">
        <f t="shared" si="2"/>
        <v>Bradford/JDG - 2025 GHG Exp
NMin Slurry (Sample)
Lab No: z4a -- ID:NMin_1_PSlurry_t0_Aa</v>
      </c>
      <c r="N8" s="13" t="str">
        <f t="shared" si="3"/>
        <v>Bradford/JDG - 2025 GHG Exp
NMin Slurry (Reserve)
Lab No: z4a -- ID:NMin_1_PSlurry_t0_Aa</v>
      </c>
    </row>
    <row r="9" ht="22.5" customHeight="1">
      <c r="A9" s="5" t="s">
        <v>14</v>
      </c>
      <c r="B9" s="6" t="s">
        <v>29</v>
      </c>
      <c r="C9" s="6" t="s">
        <v>16</v>
      </c>
      <c r="D9" s="7" t="s">
        <v>19</v>
      </c>
      <c r="E9" s="8" t="str">
        <f t="shared" si="1"/>
        <v>NMin_1_PSlurry_t0_Ab</v>
      </c>
      <c r="F9" s="7" t="s">
        <v>31</v>
      </c>
      <c r="G9" s="9">
        <v>45875.0</v>
      </c>
      <c r="I9" s="7">
        <v>9.52</v>
      </c>
      <c r="J9" s="6"/>
      <c r="K9" s="10"/>
      <c r="L9" s="11"/>
      <c r="M9" s="14" t="str">
        <f t="shared" si="2"/>
        <v>Bradford/JDG - 2025 GHG Exp
NMin Slurry (Sample)
Lab No: z4b -- ID:NMin_1_PSlurry_t0_Ab</v>
      </c>
      <c r="N9" s="15" t="str">
        <f t="shared" si="3"/>
        <v>Bradford/JDG - 2025 GHG Exp
NMin Slurry (Reserve)
Lab No: z4b -- ID:NMin_1_PSlurry_t0_Ab</v>
      </c>
    </row>
    <row r="10" ht="22.5" customHeight="1">
      <c r="A10" s="5" t="s">
        <v>14</v>
      </c>
      <c r="B10" s="6" t="s">
        <v>29</v>
      </c>
      <c r="C10" s="6" t="s">
        <v>16</v>
      </c>
      <c r="D10" s="7" t="s">
        <v>21</v>
      </c>
      <c r="E10" s="8" t="str">
        <f t="shared" si="1"/>
        <v>NMin_1_PSlurry_t0_Ba</v>
      </c>
      <c r="F10" s="7" t="s">
        <v>32</v>
      </c>
      <c r="G10" s="9">
        <v>45875.0</v>
      </c>
      <c r="I10" s="7">
        <v>9.846</v>
      </c>
      <c r="J10" s="6"/>
      <c r="K10" s="10" t="str">
        <f>IF(J10="","",((I10/(1+J10/100))*(1+25.7/100))-I10)</f>
        <v/>
      </c>
      <c r="L10" s="11"/>
      <c r="M10" s="12" t="str">
        <f t="shared" si="2"/>
        <v>Bradford/JDG - 2025 GHG Exp
NMin Slurry (Sample)
Lab No: z5a -- ID:NMin_1_PSlurry_t0_Ba</v>
      </c>
      <c r="N10" s="13" t="str">
        <f t="shared" si="3"/>
        <v>Bradford/JDG - 2025 GHG Exp
NMin Slurry (Reserve)
Lab No: z5a -- ID:NMin_1_PSlurry_t0_Ba</v>
      </c>
    </row>
    <row r="11" ht="22.5" customHeight="1">
      <c r="A11" s="5" t="s">
        <v>14</v>
      </c>
      <c r="B11" s="6" t="s">
        <v>29</v>
      </c>
      <c r="C11" s="6" t="s">
        <v>16</v>
      </c>
      <c r="D11" s="7" t="s">
        <v>23</v>
      </c>
      <c r="E11" s="8" t="str">
        <f t="shared" si="1"/>
        <v>NMin_1_PSlurry_t0_Bb</v>
      </c>
      <c r="F11" s="7" t="s">
        <v>32</v>
      </c>
      <c r="G11" s="9">
        <v>45875.0</v>
      </c>
      <c r="I11" s="7">
        <v>9.528</v>
      </c>
      <c r="J11" s="6"/>
      <c r="K11" s="10"/>
      <c r="L11" s="11"/>
      <c r="M11" s="14" t="str">
        <f t="shared" si="2"/>
        <v>Bradford/JDG - 2025 GHG Exp
NMin Slurry (Sample)
Lab No: z5a -- ID:NMin_1_PSlurry_t0_Bb</v>
      </c>
      <c r="N11" s="15" t="str">
        <f t="shared" si="3"/>
        <v>Bradford/JDG - 2025 GHG Exp
NMin Slurry (Reserve)
Lab No: z5a -- ID:NMin_1_PSlurry_t0_Bb</v>
      </c>
    </row>
    <row r="12" ht="22.5" customHeight="1">
      <c r="A12" s="5" t="s">
        <v>14</v>
      </c>
      <c r="B12" s="6" t="s">
        <v>29</v>
      </c>
      <c r="C12" s="6" t="s">
        <v>16</v>
      </c>
      <c r="D12" s="7" t="s">
        <v>25</v>
      </c>
      <c r="E12" s="8" t="str">
        <f t="shared" si="1"/>
        <v>NMin_1_PSlurry_t0_Ca</v>
      </c>
      <c r="F12" s="7" t="s">
        <v>33</v>
      </c>
      <c r="G12" s="9">
        <v>45875.0</v>
      </c>
      <c r="I12" s="7">
        <v>9.474</v>
      </c>
      <c r="J12" s="6"/>
      <c r="K12" s="10" t="str">
        <f>IF(J12="","",((I12/(1+J12/100))*(1+25.7/100))-I12)</f>
        <v/>
      </c>
      <c r="L12" s="11"/>
      <c r="M12" s="12" t="str">
        <f t="shared" si="2"/>
        <v>Bradford/JDG - 2025 GHG Exp
NMin Slurry (Sample)
Lab No: z6a -- ID:NMin_1_PSlurry_t0_Ca</v>
      </c>
      <c r="N12" s="13" t="str">
        <f t="shared" si="3"/>
        <v>Bradford/JDG - 2025 GHG Exp
NMin Slurry (Reserve)
Lab No: z6a -- ID:NMin_1_PSlurry_t0_Ca</v>
      </c>
    </row>
    <row r="13" ht="22.5" customHeight="1">
      <c r="A13" s="5" t="s">
        <v>14</v>
      </c>
      <c r="B13" s="6" t="s">
        <v>29</v>
      </c>
      <c r="C13" s="6" t="s">
        <v>16</v>
      </c>
      <c r="D13" s="7" t="s">
        <v>27</v>
      </c>
      <c r="E13" s="8" t="str">
        <f t="shared" si="1"/>
        <v>NMin_1_PSlurry_t0_Cb</v>
      </c>
      <c r="F13" s="7" t="s">
        <v>34</v>
      </c>
      <c r="G13" s="9">
        <v>45875.0</v>
      </c>
      <c r="I13" s="7">
        <v>9.304</v>
      </c>
      <c r="J13" s="6"/>
      <c r="K13" s="10"/>
      <c r="L13" s="11"/>
      <c r="M13" s="14" t="str">
        <f t="shared" si="2"/>
        <v>Bradford/JDG - 2025 GHG Exp
NMin Slurry (Sample)
Lab No: z6b -- ID:NMin_1_PSlurry_t0_Cb</v>
      </c>
      <c r="N13" s="15" t="str">
        <f t="shared" si="3"/>
        <v>Bradford/JDG - 2025 GHG Exp
NMin Slurry (Reserve)
Lab No: z6b -- ID:NMin_1_PSlurry_t0_Cb</v>
      </c>
    </row>
  </sheetData>
  <dataValidations>
    <dataValidation type="custom" allowBlank="1" showDropDown="1" sqref="G2:G13">
      <formula1>OR(NOT(ISERROR(DATEVALUE(G2))), AND(ISNUMBER(G2), LEFT(CELL("format", G2))="D"))</formula1>
    </dataValidation>
    <dataValidation type="custom" allowBlank="1" showDropDown="1" sqref="B2:B13 J2:K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