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visible" name="notes_workingdoc" sheetId="2" r:id="rId6"/>
    <sheet state="visible" name="key" sheetId="3" r:id="rId7"/>
  </sheets>
  <definedNames/>
  <calcPr/>
</workbook>
</file>

<file path=xl/sharedStrings.xml><?xml version="1.0" encoding="utf-8"?>
<sst xmlns="http://schemas.openxmlformats.org/spreadsheetml/2006/main" count="59" uniqueCount="33">
  <si>
    <t>sampling_date</t>
  </si>
  <si>
    <t>plot_no</t>
  </si>
  <si>
    <t>Replicate</t>
  </si>
  <si>
    <t>Sample_ID</t>
  </si>
  <si>
    <t>tray_no</t>
  </si>
  <si>
    <t>wet_mass_g</t>
  </si>
  <si>
    <t>dry_mass_g</t>
  </si>
  <si>
    <t>drymatt_percent</t>
  </si>
  <si>
    <t>gdrymatt_per_m2</t>
  </si>
  <si>
    <t>plot</t>
  </si>
  <si>
    <t>date_wetmass</t>
  </si>
  <si>
    <t>date_drymass</t>
  </si>
  <si>
    <t>24-10-2025</t>
  </si>
  <si>
    <t>veg_3</t>
  </si>
  <si>
    <t>Compost</t>
  </si>
  <si>
    <t>veg_4</t>
  </si>
  <si>
    <t>veg_8</t>
  </si>
  <si>
    <t>veg_9</t>
  </si>
  <si>
    <t>veg_14</t>
  </si>
  <si>
    <t>veg_2</t>
  </si>
  <si>
    <t>Control</t>
  </si>
  <si>
    <t>veg_5</t>
  </si>
  <si>
    <t>veg_7</t>
  </si>
  <si>
    <t>veg_10</t>
  </si>
  <si>
    <t>veg_15</t>
  </si>
  <si>
    <t>veg_1</t>
  </si>
  <si>
    <t>Slurry</t>
  </si>
  <si>
    <t>veg_6</t>
  </si>
  <si>
    <t>veg_11</t>
  </si>
  <si>
    <t>veg_12</t>
  </si>
  <si>
    <t>veg_13</t>
  </si>
  <si>
    <t>check for stable weight loss/final weight (dry)</t>
  </si>
  <si>
    <t>samples dried at 70C until stable dry mass achieved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</si>
</sst>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i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final!$I$1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final!$J$2:$J$985</c:f>
            </c:strRef>
          </c:cat>
          <c:val>
            <c:numRef>
              <c:f>final!$I$2:$I$985</c:f>
              <c:numCache/>
            </c:numRef>
          </c:val>
        </c:ser>
        <c:ser>
          <c:idx val="1"/>
          <c:order val="1"/>
          <c:tx>
            <c:strRef>
              <c:f>final!$J$1</c:f>
            </c:strRef>
          </c:tx>
          <c:cat>
            <c:strRef>
              <c:f>final!$J$2:$J$985</c:f>
            </c:strRef>
          </c:cat>
          <c:val>
            <c:numRef>
              <c:f>final!$J$2:$J$985</c:f>
              <c:numCache/>
            </c:numRef>
          </c:val>
        </c:ser>
        <c:axId val="459925865"/>
        <c:axId val="1171220746"/>
      </c:barChart>
      <c:catAx>
        <c:axId val="459925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220746"/>
      </c:catAx>
      <c:valAx>
        <c:axId val="1171220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99258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600075</xdr:colOff>
      <xdr:row>2</xdr:row>
      <xdr:rowOff>257175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" displayName="Table1" name="Table1" id="1">
  <tableColumns count="12">
    <tableColumn name="sampling_date" id="1"/>
    <tableColumn name="plot_no" id="2"/>
    <tableColumn name="Replicate" id="3"/>
    <tableColumn name="Sample_ID" id="4"/>
    <tableColumn name="tray_no" id="5"/>
    <tableColumn name="wet_mass_g" id="6"/>
    <tableColumn name="dry_mass_g" id="7"/>
    <tableColumn name="drymatt_percent" id="8"/>
    <tableColumn name="gdrymatt_per_m2" id="9"/>
    <tableColumn name="plot" id="10"/>
    <tableColumn name="date_wetmass" id="11"/>
    <tableColumn name="date_drymass" id="12"/>
  </tableColumns>
  <tableStyleInfo name="f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6" max="6" width="18.0"/>
    <col customWidth="1" min="7" max="7" width="14.38"/>
    <col customWidth="1" min="8" max="9" width="22.25"/>
    <col customWidth="1" min="10" max="11" width="16.75"/>
    <col customWidth="1" min="12" max="12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 t="s">
        <v>12</v>
      </c>
      <c r="B2" s="4">
        <v>3.0</v>
      </c>
      <c r="C2" s="3">
        <v>1.0</v>
      </c>
      <c r="D2" s="4" t="s">
        <v>13</v>
      </c>
      <c r="E2" s="3">
        <v>3.0</v>
      </c>
      <c r="F2" s="5">
        <v>225.0</v>
      </c>
      <c r="G2" s="3">
        <v>99.0</v>
      </c>
      <c r="H2" s="5">
        <f t="shared" ref="H2:H16" si="1">G2/F2</f>
        <v>0.44</v>
      </c>
      <c r="I2" s="5">
        <f t="shared" ref="I2:I16" si="2">F2*H2*2</f>
        <v>198</v>
      </c>
      <c r="J2" s="6" t="s">
        <v>14</v>
      </c>
      <c r="K2" s="7">
        <v>45958.0</v>
      </c>
      <c r="L2" s="7">
        <v>45961.0</v>
      </c>
    </row>
    <row r="3" ht="22.5" customHeight="1">
      <c r="A3" s="3" t="s">
        <v>12</v>
      </c>
      <c r="B3" s="4">
        <v>4.0</v>
      </c>
      <c r="C3" s="3">
        <v>1.0</v>
      </c>
      <c r="D3" s="4" t="s">
        <v>15</v>
      </c>
      <c r="E3" s="3">
        <v>4.0</v>
      </c>
      <c r="F3" s="5">
        <v>182.0</v>
      </c>
      <c r="G3" s="3">
        <v>86.0</v>
      </c>
      <c r="H3" s="5">
        <f t="shared" si="1"/>
        <v>0.4725274725</v>
      </c>
      <c r="I3" s="5">
        <f t="shared" si="2"/>
        <v>172</v>
      </c>
      <c r="J3" s="6" t="s">
        <v>14</v>
      </c>
      <c r="K3" s="7">
        <v>45958.0</v>
      </c>
      <c r="L3" s="7">
        <v>45961.0</v>
      </c>
    </row>
    <row r="4" ht="22.5" customHeight="1">
      <c r="A4" s="3" t="s">
        <v>12</v>
      </c>
      <c r="B4" s="4">
        <v>8.0</v>
      </c>
      <c r="C4" s="3">
        <v>1.0</v>
      </c>
      <c r="D4" s="4" t="s">
        <v>16</v>
      </c>
      <c r="E4" s="3">
        <v>8.0</v>
      </c>
      <c r="F4" s="5">
        <v>198.0</v>
      </c>
      <c r="G4" s="3">
        <v>119.0</v>
      </c>
      <c r="H4" s="5">
        <f t="shared" si="1"/>
        <v>0.601010101</v>
      </c>
      <c r="I4" s="5">
        <f t="shared" si="2"/>
        <v>238</v>
      </c>
      <c r="J4" s="6" t="s">
        <v>14</v>
      </c>
      <c r="K4" s="7">
        <v>45958.0</v>
      </c>
      <c r="L4" s="7">
        <v>45961.0</v>
      </c>
    </row>
    <row r="5" ht="22.5" customHeight="1">
      <c r="A5" s="3" t="s">
        <v>12</v>
      </c>
      <c r="B5" s="4">
        <v>9.0</v>
      </c>
      <c r="C5" s="3">
        <v>1.0</v>
      </c>
      <c r="D5" s="4" t="s">
        <v>17</v>
      </c>
      <c r="E5" s="3">
        <v>9.0</v>
      </c>
      <c r="F5" s="5">
        <v>293.0</v>
      </c>
      <c r="G5" s="3">
        <v>141.0</v>
      </c>
      <c r="H5" s="5">
        <f t="shared" si="1"/>
        <v>0.4812286689</v>
      </c>
      <c r="I5" s="5">
        <f t="shared" si="2"/>
        <v>282</v>
      </c>
      <c r="J5" s="6" t="s">
        <v>14</v>
      </c>
      <c r="K5" s="7">
        <v>45958.0</v>
      </c>
      <c r="L5" s="7">
        <v>45959.0</v>
      </c>
    </row>
    <row r="6" ht="22.5" customHeight="1">
      <c r="A6" s="3" t="s">
        <v>12</v>
      </c>
      <c r="B6" s="4">
        <v>14.0</v>
      </c>
      <c r="C6" s="3">
        <v>1.0</v>
      </c>
      <c r="D6" s="4" t="s">
        <v>18</v>
      </c>
      <c r="E6" s="3">
        <v>14.0</v>
      </c>
      <c r="F6" s="5">
        <v>237.0</v>
      </c>
      <c r="G6" s="3">
        <v>125.0</v>
      </c>
      <c r="H6" s="5">
        <f t="shared" si="1"/>
        <v>0.5274261603</v>
      </c>
      <c r="I6" s="5">
        <f t="shared" si="2"/>
        <v>250</v>
      </c>
      <c r="J6" s="6" t="s">
        <v>14</v>
      </c>
      <c r="K6" s="7">
        <v>45958.0</v>
      </c>
      <c r="L6" s="7">
        <v>45959.0</v>
      </c>
    </row>
    <row r="7" ht="22.5" customHeight="1">
      <c r="A7" s="3" t="s">
        <v>12</v>
      </c>
      <c r="B7" s="4">
        <v>2.0</v>
      </c>
      <c r="C7" s="3">
        <v>1.0</v>
      </c>
      <c r="D7" s="4" t="s">
        <v>19</v>
      </c>
      <c r="E7" s="3">
        <v>2.0</v>
      </c>
      <c r="F7" s="5">
        <v>174.0</v>
      </c>
      <c r="G7" s="3">
        <v>86.0</v>
      </c>
      <c r="H7" s="5">
        <f t="shared" si="1"/>
        <v>0.4942528736</v>
      </c>
      <c r="I7" s="5">
        <f t="shared" si="2"/>
        <v>172</v>
      </c>
      <c r="J7" s="6" t="s">
        <v>20</v>
      </c>
      <c r="K7" s="7">
        <v>45958.0</v>
      </c>
      <c r="L7" s="7">
        <v>45961.0</v>
      </c>
    </row>
    <row r="8" ht="22.5" customHeight="1">
      <c r="A8" s="3" t="s">
        <v>12</v>
      </c>
      <c r="B8" s="4">
        <v>5.0</v>
      </c>
      <c r="C8" s="3">
        <v>1.0</v>
      </c>
      <c r="D8" s="4" t="s">
        <v>21</v>
      </c>
      <c r="E8" s="3">
        <v>5.0</v>
      </c>
      <c r="F8" s="5">
        <v>170.0</v>
      </c>
      <c r="G8" s="3">
        <v>97.0</v>
      </c>
      <c r="H8" s="5">
        <f t="shared" si="1"/>
        <v>0.5705882353</v>
      </c>
      <c r="I8" s="5">
        <f t="shared" si="2"/>
        <v>194</v>
      </c>
      <c r="J8" s="6" t="s">
        <v>20</v>
      </c>
      <c r="K8" s="7">
        <v>45958.0</v>
      </c>
      <c r="L8" s="7">
        <v>45961.0</v>
      </c>
    </row>
    <row r="9" ht="22.5" customHeight="1">
      <c r="A9" s="3" t="s">
        <v>12</v>
      </c>
      <c r="B9" s="8">
        <v>7.0</v>
      </c>
      <c r="C9" s="3">
        <v>1.0</v>
      </c>
      <c r="D9" s="4" t="s">
        <v>22</v>
      </c>
      <c r="E9" s="3">
        <v>7.0</v>
      </c>
      <c r="F9" s="5">
        <v>284.0</v>
      </c>
      <c r="G9" s="3">
        <v>155.0</v>
      </c>
      <c r="H9" s="5">
        <f t="shared" si="1"/>
        <v>0.5457746479</v>
      </c>
      <c r="I9" s="5">
        <f t="shared" si="2"/>
        <v>310</v>
      </c>
      <c r="J9" s="6" t="s">
        <v>20</v>
      </c>
      <c r="K9" s="7">
        <v>45958.0</v>
      </c>
      <c r="L9" s="7">
        <v>45961.0</v>
      </c>
    </row>
    <row r="10" ht="22.5" customHeight="1">
      <c r="A10" s="3" t="s">
        <v>12</v>
      </c>
      <c r="B10" s="4">
        <v>10.0</v>
      </c>
      <c r="C10" s="3">
        <v>1.0</v>
      </c>
      <c r="D10" s="4" t="s">
        <v>23</v>
      </c>
      <c r="E10" s="3">
        <v>10.0</v>
      </c>
      <c r="F10" s="5">
        <v>233.0</v>
      </c>
      <c r="G10" s="3">
        <v>131.0</v>
      </c>
      <c r="H10" s="5">
        <f t="shared" si="1"/>
        <v>0.5622317597</v>
      </c>
      <c r="I10" s="5">
        <f t="shared" si="2"/>
        <v>262</v>
      </c>
      <c r="J10" s="6" t="s">
        <v>20</v>
      </c>
      <c r="K10" s="7">
        <v>45958.0</v>
      </c>
      <c r="L10" s="7">
        <v>45959.0</v>
      </c>
    </row>
    <row r="11" ht="22.5" customHeight="1">
      <c r="A11" s="3" t="s">
        <v>12</v>
      </c>
      <c r="B11" s="4">
        <v>15.0</v>
      </c>
      <c r="C11" s="3">
        <v>1.0</v>
      </c>
      <c r="D11" s="4" t="s">
        <v>24</v>
      </c>
      <c r="E11" s="3">
        <v>15.0</v>
      </c>
      <c r="F11" s="5">
        <v>170.0</v>
      </c>
      <c r="G11" s="3">
        <v>102.0</v>
      </c>
      <c r="H11" s="5">
        <f t="shared" si="1"/>
        <v>0.6</v>
      </c>
      <c r="I11" s="5">
        <f t="shared" si="2"/>
        <v>204</v>
      </c>
      <c r="J11" s="6" t="s">
        <v>20</v>
      </c>
      <c r="K11" s="7">
        <v>45958.0</v>
      </c>
      <c r="L11" s="7">
        <v>45959.0</v>
      </c>
    </row>
    <row r="12" ht="22.5" customHeight="1">
      <c r="A12" s="3" t="s">
        <v>12</v>
      </c>
      <c r="B12" s="8">
        <v>1.0</v>
      </c>
      <c r="C12" s="3">
        <v>1.0</v>
      </c>
      <c r="D12" s="4" t="s">
        <v>25</v>
      </c>
      <c r="E12" s="3">
        <v>1.0</v>
      </c>
      <c r="F12" s="5">
        <v>187.0</v>
      </c>
      <c r="G12" s="3">
        <v>78.0</v>
      </c>
      <c r="H12" s="5">
        <f t="shared" si="1"/>
        <v>0.4171122995</v>
      </c>
      <c r="I12" s="5">
        <f t="shared" si="2"/>
        <v>156</v>
      </c>
      <c r="J12" s="6" t="s">
        <v>26</v>
      </c>
      <c r="K12" s="7">
        <v>45958.0</v>
      </c>
      <c r="L12" s="7">
        <v>45961.0</v>
      </c>
    </row>
    <row r="13" ht="22.5" customHeight="1">
      <c r="A13" s="3" t="s">
        <v>12</v>
      </c>
      <c r="B13" s="4">
        <v>6.0</v>
      </c>
      <c r="C13" s="3">
        <v>1.0</v>
      </c>
      <c r="D13" s="4" t="s">
        <v>27</v>
      </c>
      <c r="E13" s="3">
        <v>6.0</v>
      </c>
      <c r="F13" s="5">
        <v>239.0</v>
      </c>
      <c r="G13" s="3">
        <v>127.0</v>
      </c>
      <c r="H13" s="5">
        <f t="shared" si="1"/>
        <v>0.5313807531</v>
      </c>
      <c r="I13" s="5">
        <f t="shared" si="2"/>
        <v>254</v>
      </c>
      <c r="J13" s="6" t="s">
        <v>26</v>
      </c>
      <c r="K13" s="7">
        <v>45958.0</v>
      </c>
      <c r="L13" s="7">
        <v>45961.0</v>
      </c>
    </row>
    <row r="14" ht="22.5" customHeight="1">
      <c r="A14" s="3" t="s">
        <v>12</v>
      </c>
      <c r="B14" s="4">
        <v>11.0</v>
      </c>
      <c r="C14" s="3">
        <v>1.0</v>
      </c>
      <c r="D14" s="4" t="s">
        <v>28</v>
      </c>
      <c r="E14" s="3">
        <v>11.0</v>
      </c>
      <c r="F14" s="5">
        <v>282.0</v>
      </c>
      <c r="G14" s="3">
        <v>120.0</v>
      </c>
      <c r="H14" s="5">
        <f t="shared" si="1"/>
        <v>0.4255319149</v>
      </c>
      <c r="I14" s="5">
        <f t="shared" si="2"/>
        <v>240</v>
      </c>
      <c r="J14" s="6" t="s">
        <v>26</v>
      </c>
      <c r="K14" s="7">
        <v>45958.0</v>
      </c>
      <c r="L14" s="7">
        <v>45959.0</v>
      </c>
    </row>
    <row r="15" ht="22.5" customHeight="1">
      <c r="A15" s="3" t="s">
        <v>12</v>
      </c>
      <c r="B15" s="4">
        <v>12.0</v>
      </c>
      <c r="C15" s="3">
        <v>1.0</v>
      </c>
      <c r="D15" s="4" t="s">
        <v>29</v>
      </c>
      <c r="E15" s="3">
        <v>12.0</v>
      </c>
      <c r="F15" s="5">
        <v>236.0</v>
      </c>
      <c r="G15" s="3">
        <v>116.0</v>
      </c>
      <c r="H15" s="5">
        <f t="shared" si="1"/>
        <v>0.4915254237</v>
      </c>
      <c r="I15" s="5">
        <f t="shared" si="2"/>
        <v>232</v>
      </c>
      <c r="J15" s="6" t="s">
        <v>26</v>
      </c>
      <c r="K15" s="7">
        <v>45958.0</v>
      </c>
      <c r="L15" s="7">
        <v>45959.0</v>
      </c>
    </row>
    <row r="16" ht="22.5" customHeight="1">
      <c r="A16" s="3" t="s">
        <v>12</v>
      </c>
      <c r="B16" s="8">
        <v>13.0</v>
      </c>
      <c r="C16" s="3">
        <v>1.0</v>
      </c>
      <c r="D16" s="4" t="s">
        <v>30</v>
      </c>
      <c r="E16" s="3">
        <v>13.0</v>
      </c>
      <c r="F16" s="5">
        <v>271.0</v>
      </c>
      <c r="G16" s="3">
        <v>139.0</v>
      </c>
      <c r="H16" s="5">
        <f t="shared" si="1"/>
        <v>0.5129151292</v>
      </c>
      <c r="I16" s="5">
        <f t="shared" si="2"/>
        <v>278</v>
      </c>
      <c r="J16" s="6" t="s">
        <v>26</v>
      </c>
      <c r="K16" s="7">
        <v>45958.0</v>
      </c>
      <c r="L16" s="7">
        <v>45959.0</v>
      </c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</sheetData>
  <dataValidations>
    <dataValidation type="custom" allowBlank="1" showDropDown="1" sqref="B2:B16 F2:F16">
      <formula1>AND(ISNUMBER(B2),(NOT(OR(NOT(ISERROR(DATEVALUE(B2))), AND(ISNUMBER(B2), LEFT(CELL("format", B2))="D")))))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32</v>
      </c>
    </row>
  </sheetData>
  <drawing r:id="rId1"/>
</worksheet>
</file>